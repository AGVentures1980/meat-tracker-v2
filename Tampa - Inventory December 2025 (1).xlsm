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trlProps/ctrlProp1.xml" ContentType="application/vnd.ms-excel.controlproperties+xml"/>
  <Override PartName="/xl/drawings/drawing6.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Override PartName="/xl/charts/colors3.xml" ContentType="application/vnd.ms-office.chartcolorstyle+xml"/>
  <Override PartName="/xl/charts/style3.xml" ContentType="application/vnd.ms-office.chartstyle+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defaultThemeVersion="124226"/>
  <bookViews>
    <workbookView xWindow="-120" yWindow="-120" windowWidth="24240" windowHeight="13740" tabRatio="779" activeTab="2"/>
  </bookViews>
  <sheets>
    <sheet name="Inv Totals" sheetId="3" r:id="rId1"/>
    <sheet name="Food" sheetId="1" r:id="rId2"/>
    <sheet name="Food %" sheetId="7" r:id="rId3"/>
    <sheet name="Meat Usage" sheetId="11" r:id="rId4"/>
    <sheet name="Supplies &amp; Chemicals" sheetId="8" r:id="rId5"/>
    <sheet name="InteliPar" sheetId="4" r:id="rId6"/>
    <sheet name="W,L,B,NA" sheetId="10" r:id="rId7"/>
    <sheet name="Ytd COG" sheetId="6" r:id="rId8"/>
    <sheet name="Explanation" sheetId="13" r:id="rId9"/>
    <sheet name="Dashboard" sheetId="12" r:id="rId10"/>
  </sheets>
  <definedNames>
    <definedName name="_xlnm._FilterDatabase" localSheetId="1" hidden="1">Food!$A$4:$F$235</definedName>
    <definedName name="_xleta.OR" hidden="1" xlm="1">#NAME?</definedName>
    <definedName name="_xlnm.Print_Area" localSheetId="1">Food!$A$1:$F$238</definedName>
    <definedName name="_xlnm.Print_Area" localSheetId="2">'Food %'!$B$1:$J$94</definedName>
    <definedName name="_xlnm.Print_Area" localSheetId="5">InteliPar!#REF!</definedName>
    <definedName name="_xlnm.Print_Area" localSheetId="3">'Meat Usage'!$A$1:$Q$58</definedName>
    <definedName name="_xlnm.Print_Area" localSheetId="4">'Supplies &amp; Chemicals'!$A$1:$F$122</definedName>
  </definedNames>
  <calcPr calcId="1456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6" l="1"/>
  <c r="H146" i="10"/>
  <c r="D146" i="10" s="1"/>
  <c r="H145" i="10"/>
  <c r="D145" i="10" s="1"/>
  <c r="H144" i="10"/>
  <c r="D144" i="10" s="1"/>
  <c r="H143" i="10"/>
  <c r="D143" i="10" s="1"/>
  <c r="H142" i="10"/>
  <c r="D142" i="10" s="1"/>
  <c r="H140" i="10"/>
  <c r="D140" i="10" s="1"/>
  <c r="H139" i="10"/>
  <c r="D139" i="10" s="1"/>
  <c r="H138" i="10"/>
  <c r="D138" i="10" s="1"/>
  <c r="H137" i="10"/>
  <c r="D137" i="10" s="1"/>
  <c r="H136" i="10"/>
  <c r="D136" i="10" s="1"/>
  <c r="H134" i="10"/>
  <c r="D134" i="10" s="1"/>
  <c r="H133" i="10"/>
  <c r="D133" i="10" s="1"/>
  <c r="H132" i="10"/>
  <c r="D132" i="10" s="1"/>
  <c r="H131" i="10"/>
  <c r="D131" i="10" s="1"/>
  <c r="H130" i="10"/>
  <c r="D130" i="10" s="1"/>
  <c r="H128" i="10"/>
  <c r="D128" i="10" s="1"/>
  <c r="H127" i="10"/>
  <c r="D127" i="10" s="1"/>
  <c r="H126" i="10"/>
  <c r="D126" i="10" s="1"/>
  <c r="H125" i="10"/>
  <c r="D125" i="10" s="1"/>
  <c r="H124" i="10"/>
  <c r="D124" i="10" s="1"/>
  <c r="H122" i="10"/>
  <c r="D122" i="10" s="1"/>
  <c r="H121" i="10"/>
  <c r="D121" i="10" s="1"/>
  <c r="H120" i="10"/>
  <c r="D120" i="10" s="1"/>
  <c r="H119" i="10"/>
  <c r="D119" i="10" s="1"/>
  <c r="H118" i="10"/>
  <c r="D118" i="10" s="1"/>
  <c r="H116" i="10"/>
  <c r="D116" i="10" s="1"/>
  <c r="H115" i="10"/>
  <c r="D115" i="10" s="1"/>
  <c r="H114" i="10"/>
  <c r="D114" i="10" s="1"/>
  <c r="H113" i="10"/>
  <c r="D113" i="10" s="1"/>
  <c r="H112" i="10"/>
  <c r="D112" i="10" s="1"/>
  <c r="H110" i="10"/>
  <c r="D110" i="10" s="1"/>
  <c r="H109" i="10"/>
  <c r="D109" i="10" s="1"/>
  <c r="H108" i="10"/>
  <c r="D108" i="10" s="1"/>
  <c r="H107" i="10"/>
  <c r="D107" i="10" s="1"/>
  <c r="H106" i="10"/>
  <c r="D106" i="10" s="1"/>
  <c r="H104" i="10"/>
  <c r="D104" i="10" s="1"/>
  <c r="H103" i="10"/>
  <c r="D103" i="10" s="1"/>
  <c r="H102" i="10"/>
  <c r="D102" i="10" s="1"/>
  <c r="H101" i="10"/>
  <c r="D101" i="10" s="1"/>
  <c r="H100" i="10"/>
  <c r="D100" i="10" s="1"/>
  <c r="H99" i="10"/>
  <c r="D99" i="10" s="1"/>
  <c r="H98" i="10"/>
  <c r="D98" i="10" s="1"/>
  <c r="H97" i="10"/>
  <c r="D97" i="10" s="1"/>
  <c r="H96" i="10"/>
  <c r="D96" i="10" s="1"/>
  <c r="H95" i="10"/>
  <c r="D95" i="10" s="1"/>
  <c r="H93" i="10"/>
  <c r="D93" i="10" s="1"/>
  <c r="H92" i="10"/>
  <c r="D92" i="10" s="1"/>
  <c r="H91" i="10"/>
  <c r="D91" i="10" s="1"/>
  <c r="H90" i="10"/>
  <c r="D90" i="10" s="1"/>
  <c r="H89" i="10"/>
  <c r="D89" i="10" s="1"/>
  <c r="H88" i="10"/>
  <c r="D88" i="10" s="1"/>
  <c r="H87" i="10"/>
  <c r="D87" i="10" s="1"/>
  <c r="H86" i="10"/>
  <c r="D86" i="10" s="1"/>
  <c r="H85" i="10"/>
  <c r="D85" i="10" s="1"/>
  <c r="H84" i="10"/>
  <c r="D84" i="10" s="1"/>
  <c r="H162" i="10"/>
  <c r="D162" i="10" s="1"/>
  <c r="H159" i="10"/>
  <c r="D159" i="10" s="1"/>
  <c r="H160" i="10"/>
  <c r="D160" i="10" s="1"/>
  <c r="H161" i="10"/>
  <c r="D161" i="10" s="1"/>
  <c r="H171" i="10"/>
  <c r="D171" i="10" s="1"/>
  <c r="H186" i="10"/>
  <c r="D186" i="10" s="1"/>
  <c r="H192" i="10"/>
  <c r="D192" i="10" s="1"/>
  <c r="H168" i="10"/>
  <c r="D168" i="10" s="1"/>
  <c r="H169" i="10"/>
  <c r="D169" i="10" s="1"/>
  <c r="H170" i="10"/>
  <c r="D170" i="10" s="1"/>
  <c r="H191" i="10"/>
  <c r="D191" i="10" s="1"/>
  <c r="H201" i="10"/>
  <c r="D201" i="10" s="1"/>
  <c r="H174" i="10"/>
  <c r="D174" i="10" s="1"/>
  <c r="H148" i="10"/>
  <c r="D148" i="10" s="1"/>
  <c r="H149" i="10"/>
  <c r="D149" i="10" s="1"/>
  <c r="H150" i="10"/>
  <c r="D150" i="10" s="1"/>
  <c r="H151" i="10"/>
  <c r="D151" i="10" s="1"/>
  <c r="H152" i="10"/>
  <c r="D152" i="10" s="1"/>
  <c r="H157" i="10"/>
  <c r="D157" i="10" s="1"/>
  <c r="H158" i="10"/>
  <c r="D158" i="10" s="1"/>
  <c r="H163" i="10"/>
  <c r="D163" i="10" s="1"/>
  <c r="H164" i="10"/>
  <c r="D164" i="10" s="1"/>
  <c r="H165" i="10"/>
  <c r="D165" i="10" s="1"/>
  <c r="H166" i="10"/>
  <c r="D166" i="10" s="1"/>
  <c r="H167" i="10"/>
  <c r="D167" i="10" s="1"/>
  <c r="H172" i="10"/>
  <c r="D172" i="10" s="1"/>
  <c r="H173" i="10"/>
  <c r="D173" i="10" s="1"/>
  <c r="H184" i="10"/>
  <c r="D184" i="10" s="1"/>
  <c r="A136" i="10" l="1"/>
  <c r="A95" i="10"/>
  <c r="A130" i="10"/>
  <c r="A148" i="10"/>
  <c r="A118" i="10"/>
  <c r="A124" i="10"/>
  <c r="A142" i="10"/>
  <c r="A106" i="10"/>
  <c r="A84" i="10"/>
  <c r="A112" i="10"/>
  <c r="L117" i="10" l="1"/>
  <c r="B1" i="1"/>
  <c r="E1" i="1"/>
  <c r="B3" i="12"/>
  <c r="B2" i="12"/>
  <c r="D16" i="12"/>
  <c r="D13" i="12"/>
  <c r="D15" i="12"/>
  <c r="D14" i="12"/>
  <c r="A1" i="8"/>
  <c r="D54" i="11" l="1"/>
  <c r="D53" i="11"/>
  <c r="D52" i="11"/>
  <c r="D51" i="11"/>
  <c r="D50" i="11"/>
  <c r="D49" i="11"/>
  <c r="D48" i="11"/>
  <c r="D47" i="11"/>
  <c r="D46" i="11"/>
  <c r="D45" i="11"/>
  <c r="D44" i="11"/>
  <c r="D43" i="11"/>
  <c r="D42" i="11"/>
  <c r="D41" i="11"/>
  <c r="D40" i="11"/>
  <c r="P1" i="11"/>
  <c r="I1" i="11"/>
  <c r="D58" i="11"/>
  <c r="B54" i="11"/>
  <c r="G54" i="11" s="1"/>
  <c r="Q36" i="11"/>
  <c r="Q35" i="11"/>
  <c r="P35" i="11"/>
  <c r="O35" i="11"/>
  <c r="N35" i="11"/>
  <c r="M35" i="11"/>
  <c r="L35" i="11"/>
  <c r="K35" i="11"/>
  <c r="J35" i="11"/>
  <c r="I35" i="11"/>
  <c r="H35" i="11"/>
  <c r="G35" i="11"/>
  <c r="F35" i="11"/>
  <c r="E35" i="11"/>
  <c r="D35" i="11"/>
  <c r="C35" i="11"/>
  <c r="T1" i="11"/>
  <c r="H41" i="11" l="1"/>
  <c r="I41" i="11" s="1"/>
  <c r="H45" i="11"/>
  <c r="I45" i="11" s="1"/>
  <c r="H49" i="11"/>
  <c r="I49" i="11" s="1"/>
  <c r="H53" i="11"/>
  <c r="I53" i="11" s="1"/>
  <c r="H48" i="11"/>
  <c r="I48" i="11" s="1"/>
  <c r="H54" i="11"/>
  <c r="I54" i="11" s="1"/>
  <c r="H47" i="11"/>
  <c r="I47" i="11" s="1"/>
  <c r="H43" i="11"/>
  <c r="I43" i="11" s="1"/>
  <c r="H46" i="11"/>
  <c r="I46" i="11" s="1"/>
  <c r="H42" i="11"/>
  <c r="I42" i="11" s="1"/>
  <c r="H52" i="11"/>
  <c r="I52" i="11" s="1"/>
  <c r="H51" i="11"/>
  <c r="I51" i="11" s="1"/>
  <c r="H50" i="11"/>
  <c r="I50" i="11" s="1"/>
  <c r="H44" i="11"/>
  <c r="I44" i="11" s="1"/>
  <c r="H40" i="11"/>
  <c r="I40" i="11" s="1"/>
  <c r="K39" i="11" l="1"/>
  <c r="K41" i="11" s="1"/>
  <c r="E236" i="10"/>
  <c r="C9" i="3" l="1"/>
  <c r="C16" i="12" s="1"/>
  <c r="E16" i="12" s="1"/>
  <c r="C8" i="3"/>
  <c r="C13" i="12" s="1"/>
  <c r="E13" i="12" s="1"/>
  <c r="C7" i="3"/>
  <c r="C15" i="12" s="1"/>
  <c r="E15" i="12" s="1"/>
  <c r="C6" i="3"/>
  <c r="C14" i="12" s="1"/>
  <c r="E14" i="12" s="1"/>
  <c r="H225" i="10"/>
  <c r="D225" i="10" s="1"/>
  <c r="C11" i="12" s="1"/>
  <c r="E11" i="12" s="1"/>
  <c r="B243" i="1"/>
  <c r="E234" i="1"/>
  <c r="E233" i="1"/>
  <c r="E232" i="1"/>
  <c r="E231" i="1"/>
  <c r="E230" i="1"/>
  <c r="E229" i="1"/>
  <c r="E228" i="1"/>
  <c r="E227" i="1"/>
  <c r="E226" i="1"/>
  <c r="E225" i="1"/>
  <c r="E224" i="1"/>
  <c r="E223" i="1"/>
  <c r="E222" i="1"/>
  <c r="E221" i="1"/>
  <c r="E220" i="1"/>
  <c r="E216" i="1"/>
  <c r="E215" i="1"/>
  <c r="E214" i="1"/>
  <c r="E213" i="1"/>
  <c r="E212" i="1"/>
  <c r="E211" i="1"/>
  <c r="E210" i="1"/>
  <c r="E209" i="1"/>
  <c r="E208" i="1"/>
  <c r="E207" i="1"/>
  <c r="E206" i="1"/>
  <c r="E205" i="1"/>
  <c r="E204" i="1"/>
  <c r="E203" i="1"/>
  <c r="E202" i="1"/>
  <c r="E201" i="1"/>
  <c r="E200" i="1"/>
  <c r="E199" i="1"/>
  <c r="E198" i="1"/>
  <c r="E197" i="1"/>
  <c r="E196" i="1"/>
  <c r="E195" i="1"/>
  <c r="E194" i="1"/>
  <c r="E193" i="1"/>
  <c r="E192" i="1"/>
  <c r="E191" i="1"/>
  <c r="E190" i="1"/>
  <c r="E189" i="1"/>
  <c r="E188" i="1"/>
  <c r="E187" i="1"/>
  <c r="E186" i="1"/>
  <c r="E185" i="1"/>
  <c r="E184" i="1"/>
  <c r="E183" i="1"/>
  <c r="E180" i="1"/>
  <c r="E179" i="1"/>
  <c r="E178" i="1"/>
  <c r="E177" i="1"/>
  <c r="E176" i="1"/>
  <c r="E175" i="1"/>
  <c r="E174" i="1"/>
  <c r="E173" i="1"/>
  <c r="E172" i="1"/>
  <c r="E171" i="1"/>
  <c r="E170" i="1"/>
  <c r="E169" i="1"/>
  <c r="E168" i="1"/>
  <c r="E167" i="1"/>
  <c r="E166" i="1"/>
  <c r="E165" i="1"/>
  <c r="E164" i="1"/>
  <c r="E163" i="1"/>
  <c r="E162" i="1"/>
  <c r="E161" i="1"/>
  <c r="E160" i="1"/>
  <c r="E159" i="1"/>
  <c r="E158" i="1"/>
  <c r="E157" i="1"/>
  <c r="E156" i="1"/>
  <c r="E155" i="1"/>
  <c r="E154" i="1"/>
  <c r="E153" i="1"/>
  <c r="E152" i="1"/>
  <c r="E151" i="1"/>
  <c r="E150" i="1"/>
  <c r="E149" i="1"/>
  <c r="E146" i="1"/>
  <c r="E145" i="1"/>
  <c r="E144" i="1"/>
  <c r="E143" i="1"/>
  <c r="E142" i="1"/>
  <c r="E141" i="1"/>
  <c r="E140" i="1"/>
  <c r="E139" i="1"/>
  <c r="E138" i="1"/>
  <c r="E137" i="1"/>
  <c r="E136" i="1"/>
  <c r="E135" i="1"/>
  <c r="E134" i="1"/>
  <c r="E133" i="1"/>
  <c r="E132" i="1"/>
  <c r="E131" i="1"/>
  <c r="E130" i="1"/>
  <c r="E129" i="1"/>
  <c r="E128" i="1"/>
  <c r="E127" i="1"/>
  <c r="E126" i="1"/>
  <c r="E125" i="1"/>
  <c r="E124" i="1"/>
  <c r="E123" i="1"/>
  <c r="E122" i="1"/>
  <c r="E121" i="1"/>
  <c r="E120" i="1"/>
  <c r="E119" i="1"/>
  <c r="E118" i="1"/>
  <c r="E117" i="1"/>
  <c r="E116" i="1"/>
  <c r="E115" i="1"/>
  <c r="E114" i="1"/>
  <c r="E113" i="1"/>
  <c r="E112" i="1"/>
  <c r="E111" i="1"/>
  <c r="E110" i="1"/>
  <c r="E109" i="1"/>
  <c r="E108" i="1"/>
  <c r="E107" i="1"/>
  <c r="E106" i="1"/>
  <c r="E105" i="1"/>
  <c r="E104" i="1"/>
  <c r="E103" i="1"/>
  <c r="E102" i="1"/>
  <c r="E101" i="1"/>
  <c r="E100" i="1"/>
  <c r="E99" i="1"/>
  <c r="E98" i="1"/>
  <c r="E97" i="1"/>
  <c r="E96" i="1"/>
  <c r="E95" i="1"/>
  <c r="E94" i="1"/>
  <c r="E93" i="1"/>
  <c r="E92" i="1"/>
  <c r="E91" i="1"/>
  <c r="E90" i="1"/>
  <c r="E89" i="1"/>
  <c r="E88" i="1"/>
  <c r="E87" i="1"/>
  <c r="E86" i="1"/>
  <c r="E85" i="1"/>
  <c r="E84" i="1"/>
  <c r="E83" i="1"/>
  <c r="E82" i="1"/>
  <c r="E81" i="1"/>
  <c r="E80" i="1"/>
  <c r="E79" i="1"/>
  <c r="E78" i="1"/>
  <c r="E77" i="1"/>
  <c r="E76" i="1"/>
  <c r="E75" i="1"/>
  <c r="E74" i="1"/>
  <c r="E73" i="1"/>
  <c r="E72" i="1"/>
  <c r="E71" i="1"/>
  <c r="E70" i="1"/>
  <c r="E69" i="1"/>
  <c r="E68" i="1"/>
  <c r="E67" i="1"/>
  <c r="E66" i="1"/>
  <c r="E65" i="1"/>
  <c r="E64" i="1"/>
  <c r="E63" i="1"/>
  <c r="E62" i="1"/>
  <c r="E61" i="1"/>
  <c r="E60" i="1"/>
  <c r="E59" i="1"/>
  <c r="E58" i="1"/>
  <c r="E57" i="1"/>
  <c r="E56" i="1"/>
  <c r="E55" i="1"/>
  <c r="E54" i="1"/>
  <c r="E53" i="1"/>
  <c r="E52" i="1"/>
  <c r="E51" i="1"/>
  <c r="E50" i="1"/>
  <c r="E49" i="1"/>
  <c r="E48" i="1"/>
  <c r="E47" i="1"/>
  <c r="E46" i="1"/>
  <c r="E45" i="1"/>
  <c r="E41" i="1"/>
  <c r="E40" i="1"/>
  <c r="E39" i="1"/>
  <c r="E38" i="1"/>
  <c r="E37" i="1"/>
  <c r="E34" i="1"/>
  <c r="E33" i="1"/>
  <c r="E32" i="1"/>
  <c r="E31" i="1"/>
  <c r="E30" i="1"/>
  <c r="E29" i="1"/>
  <c r="E28" i="1"/>
  <c r="E27" i="1"/>
  <c r="E24" i="1"/>
  <c r="E23" i="1"/>
  <c r="E22" i="1"/>
  <c r="E19" i="1"/>
  <c r="E18" i="1"/>
  <c r="E17" i="1"/>
  <c r="E14" i="1"/>
  <c r="E13" i="1"/>
  <c r="E12" i="1"/>
  <c r="E11" i="1"/>
  <c r="E10" i="1"/>
  <c r="E9" i="1"/>
  <c r="E8" i="1"/>
  <c r="E7" i="1"/>
  <c r="E6" i="1"/>
  <c r="E5" i="1"/>
  <c r="E25" i="1" l="1"/>
  <c r="E20" i="1"/>
  <c r="E147" i="1"/>
  <c r="E181" i="1"/>
  <c r="E235" i="1"/>
  <c r="E15" i="1"/>
  <c r="D25" i="12" s="1"/>
  <c r="E35" i="1"/>
  <c r="E42" i="1"/>
  <c r="E217" i="1"/>
  <c r="B17" i="6"/>
  <c r="D18" i="12" s="1"/>
  <c r="E229" i="10" l="1"/>
  <c r="C18" i="12" s="1"/>
  <c r="E18" i="12" s="1"/>
  <c r="D5" i="12"/>
  <c r="E12" i="3"/>
  <c r="C32" i="12" s="1"/>
  <c r="D32" i="12"/>
  <c r="E13" i="3"/>
  <c r="C33" i="12" s="1"/>
  <c r="D33" i="12"/>
  <c r="E7" i="3"/>
  <c r="C27" i="12" s="1"/>
  <c r="D27" i="12"/>
  <c r="E9" i="3"/>
  <c r="C29" i="12" s="1"/>
  <c r="D29" i="12"/>
  <c r="E11" i="3"/>
  <c r="C31" i="12" s="1"/>
  <c r="D31" i="12"/>
  <c r="E8" i="3"/>
  <c r="C28" i="12" s="1"/>
  <c r="D28" i="12"/>
  <c r="E10" i="3"/>
  <c r="C30" i="12" s="1"/>
  <c r="D30" i="12"/>
  <c r="E6" i="3"/>
  <c r="C26" i="12" s="1"/>
  <c r="D26" i="12"/>
  <c r="E237" i="1"/>
  <c r="E5" i="3"/>
  <c r="C25" i="12" s="1"/>
  <c r="E25" i="12" s="1"/>
  <c r="E30" i="12" l="1"/>
  <c r="E31" i="12"/>
  <c r="E27" i="12"/>
  <c r="E32" i="12"/>
  <c r="K14" i="7"/>
  <c r="D23" i="12"/>
  <c r="E26" i="12"/>
  <c r="E28" i="12"/>
  <c r="E29" i="12"/>
  <c r="E33" i="12"/>
  <c r="C5" i="3"/>
  <c r="B16" i="3" s="1"/>
  <c r="C23" i="12" l="1"/>
  <c r="E23" i="12" s="1"/>
  <c r="F20" i="8"/>
  <c r="F14" i="8"/>
  <c r="H219" i="10"/>
  <c r="F7" i="8"/>
  <c r="F8" i="8"/>
  <c r="F9" i="8"/>
  <c r="C17" i="6"/>
  <c r="D19" i="12" s="1"/>
  <c r="D17" i="6"/>
  <c r="D20" i="12" s="1"/>
  <c r="E17" i="6"/>
  <c r="F17" i="6"/>
  <c r="D21" i="12" s="1"/>
  <c r="A2" i="10"/>
  <c r="A1" i="10"/>
  <c r="G1" i="8"/>
  <c r="H221" i="10"/>
  <c r="D221" i="10"/>
  <c r="D219" i="10"/>
  <c r="K214" i="10"/>
  <c r="F215" i="10" s="1"/>
  <c r="J214" i="10"/>
  <c r="E215" i="10" s="1"/>
  <c r="E214" i="10"/>
  <c r="H212" i="10"/>
  <c r="D212" i="10" s="1"/>
  <c r="H211" i="10"/>
  <c r="D211" i="10" s="1"/>
  <c r="H210" i="10"/>
  <c r="D210" i="10" s="1"/>
  <c r="H209" i="10"/>
  <c r="D209" i="10" s="1"/>
  <c r="H208" i="10"/>
  <c r="D208" i="10" s="1"/>
  <c r="H203" i="10"/>
  <c r="D203" i="10" s="1"/>
  <c r="H202" i="10"/>
  <c r="D202" i="10" s="1"/>
  <c r="H200" i="10"/>
  <c r="D200" i="10" s="1"/>
  <c r="H199" i="10"/>
  <c r="D199" i="10" s="1"/>
  <c r="H194" i="10"/>
  <c r="D194" i="10" s="1"/>
  <c r="H193" i="10"/>
  <c r="D193" i="10" s="1"/>
  <c r="H190" i="10"/>
  <c r="D190" i="10" s="1"/>
  <c r="H188" i="10"/>
  <c r="D188" i="10" s="1"/>
  <c r="H187" i="10"/>
  <c r="D187" i="10" s="1"/>
  <c r="H185" i="10"/>
  <c r="D185" i="10" s="1"/>
  <c r="H182" i="10"/>
  <c r="D182" i="10" s="1"/>
  <c r="H181" i="10"/>
  <c r="D181" i="10" s="1"/>
  <c r="H180" i="10"/>
  <c r="D180" i="10" s="1"/>
  <c r="H179" i="10"/>
  <c r="D179" i="10" s="1"/>
  <c r="H178" i="10"/>
  <c r="D178" i="10" s="1"/>
  <c r="H176" i="10"/>
  <c r="D176" i="10" s="1"/>
  <c r="H175" i="10"/>
  <c r="D175" i="10" s="1"/>
  <c r="I214" i="10"/>
  <c r="I216" i="10" s="1"/>
  <c r="I223" i="10" s="1"/>
  <c r="I227" i="10" s="1"/>
  <c r="I228" i="10" s="1"/>
  <c r="C8" i="12" s="1"/>
  <c r="G214" i="10"/>
  <c r="G216" i="10" s="1"/>
  <c r="G223" i="10" s="1"/>
  <c r="G227" i="10" s="1"/>
  <c r="G228" i="10" s="1"/>
  <c r="C7" i="12" s="1"/>
  <c r="F214" i="10"/>
  <c r="B98" i="7"/>
  <c r="B83" i="7"/>
  <c r="B68" i="7"/>
  <c r="B53" i="7"/>
  <c r="B38" i="7"/>
  <c r="B23" i="7"/>
  <c r="F115" i="8"/>
  <c r="F108" i="8"/>
  <c r="F109" i="8"/>
  <c r="F110" i="8"/>
  <c r="F111" i="8"/>
  <c r="F112" i="8"/>
  <c r="F113" i="8"/>
  <c r="F6" i="8"/>
  <c r="F107" i="8"/>
  <c r="F114" i="8"/>
  <c r="F116" i="8"/>
  <c r="E107" i="7"/>
  <c r="C107" i="7"/>
  <c r="F117" i="8"/>
  <c r="F118" i="8"/>
  <c r="F119" i="8"/>
  <c r="F84" i="8"/>
  <c r="F101" i="8"/>
  <c r="F70" i="8"/>
  <c r="F81" i="8"/>
  <c r="F83" i="8"/>
  <c r="F82" i="8"/>
  <c r="F77" i="8"/>
  <c r="F78" i="8"/>
  <c r="F79" i="8"/>
  <c r="F80" i="8"/>
  <c r="F94" i="8"/>
  <c r="F68" i="8"/>
  <c r="F75" i="8"/>
  <c r="F89" i="8"/>
  <c r="F90" i="8"/>
  <c r="F92" i="8"/>
  <c r="F93" i="8"/>
  <c r="F85" i="8"/>
  <c r="F86" i="8"/>
  <c r="F87" i="8"/>
  <c r="F88" i="8"/>
  <c r="F54" i="8"/>
  <c r="F21" i="8"/>
  <c r="F19" i="8"/>
  <c r="F18" i="8"/>
  <c r="F25" i="8"/>
  <c r="I107" i="7"/>
  <c r="H107" i="7"/>
  <c r="G107" i="7"/>
  <c r="F107" i="7"/>
  <c r="D107" i="7"/>
  <c r="J106" i="7"/>
  <c r="H16" i="7" s="1"/>
  <c r="J105" i="7"/>
  <c r="H15" i="7" s="1"/>
  <c r="J104" i="7"/>
  <c r="H14" i="7" s="1"/>
  <c r="J103" i="7"/>
  <c r="H13" i="7" s="1"/>
  <c r="J102" i="7"/>
  <c r="H12" i="7" s="1"/>
  <c r="J101" i="7"/>
  <c r="H11" i="7" s="1"/>
  <c r="J100" i="7"/>
  <c r="H10" i="7" s="1"/>
  <c r="J99" i="7"/>
  <c r="H9" i="7" s="1"/>
  <c r="F47" i="8"/>
  <c r="F45" i="8"/>
  <c r="F102" i="8"/>
  <c r="F100" i="8"/>
  <c r="F99" i="8"/>
  <c r="F91" i="8"/>
  <c r="F69" i="8"/>
  <c r="F67" i="8"/>
  <c r="F76" i="8"/>
  <c r="F66" i="8"/>
  <c r="F65" i="8"/>
  <c r="F63" i="8"/>
  <c r="F62" i="8"/>
  <c r="F61" i="8"/>
  <c r="F60" i="8"/>
  <c r="F59" i="8"/>
  <c r="F58" i="8"/>
  <c r="F57" i="8"/>
  <c r="F56" i="8"/>
  <c r="F55" i="8"/>
  <c r="F53" i="8"/>
  <c r="F52" i="8"/>
  <c r="F51" i="8"/>
  <c r="F50" i="8"/>
  <c r="F49" i="8"/>
  <c r="F48" i="8"/>
  <c r="F46" i="8"/>
  <c r="F44" i="8"/>
  <c r="F43" i="8"/>
  <c r="F64" i="8"/>
  <c r="F42" i="8"/>
  <c r="F28" i="8"/>
  <c r="F15" i="8"/>
  <c r="F34" i="8"/>
  <c r="F30" i="8"/>
  <c r="F29" i="8"/>
  <c r="F24" i="8"/>
  <c r="F33" i="8"/>
  <c r="F35" i="8"/>
  <c r="F13" i="8"/>
  <c r="F12" i="8"/>
  <c r="B25" i="7"/>
  <c r="B40" i="7" s="1"/>
  <c r="B55" i="7" s="1"/>
  <c r="B70" i="7" s="1"/>
  <c r="B85" i="7" s="1"/>
  <c r="B100" i="7" s="1"/>
  <c r="B26" i="7"/>
  <c r="B41" i="7"/>
  <c r="B56" i="7"/>
  <c r="B71" i="7"/>
  <c r="B86" i="7"/>
  <c r="B101" i="7"/>
  <c r="B27" i="7"/>
  <c r="B42" i="7"/>
  <c r="B57" i="7"/>
  <c r="B72" i="7"/>
  <c r="B87" i="7"/>
  <c r="B102" i="7"/>
  <c r="B28" i="7"/>
  <c r="B43" i="7"/>
  <c r="B58" i="7"/>
  <c r="B73" i="7"/>
  <c r="B88" i="7"/>
  <c r="B103" i="7"/>
  <c r="B29" i="7"/>
  <c r="B44" i="7"/>
  <c r="B59" i="7"/>
  <c r="B74" i="7"/>
  <c r="B89" i="7"/>
  <c r="B104" i="7"/>
  <c r="B30" i="7"/>
  <c r="B45" i="7"/>
  <c r="B60" i="7"/>
  <c r="B75" i="7"/>
  <c r="B90" i="7"/>
  <c r="B105" i="7"/>
  <c r="B31" i="7"/>
  <c r="B46" i="7"/>
  <c r="B61" i="7"/>
  <c r="B76" i="7"/>
  <c r="B91" i="7"/>
  <c r="B106" i="7"/>
  <c r="B24" i="7"/>
  <c r="B39" i="7"/>
  <c r="B54" i="7"/>
  <c r="B69" i="7"/>
  <c r="B84" i="7"/>
  <c r="B99" i="7"/>
  <c r="C23" i="7"/>
  <c r="D23" i="7" s="1"/>
  <c r="E23" i="7" s="1"/>
  <c r="F23" i="7" s="1"/>
  <c r="G23" i="7" s="1"/>
  <c r="H23" i="7" s="1"/>
  <c r="I23" i="7" s="1"/>
  <c r="C38" i="7" s="1"/>
  <c r="D38" i="7" s="1"/>
  <c r="E38" i="7" s="1"/>
  <c r="F38" i="7" s="1"/>
  <c r="G38" i="7" s="1"/>
  <c r="H38" i="7" s="1"/>
  <c r="I38" i="7" s="1"/>
  <c r="C53" i="7" s="1"/>
  <c r="D53" i="7" s="1"/>
  <c r="E53" i="7" s="1"/>
  <c r="F53" i="7" s="1"/>
  <c r="G53" i="7" s="1"/>
  <c r="H53" i="7" s="1"/>
  <c r="I53" i="7" s="1"/>
  <c r="C68" i="7" s="1"/>
  <c r="D68" i="7" s="1"/>
  <c r="E68" i="7" s="1"/>
  <c r="F68" i="7" s="1"/>
  <c r="G68" i="7" s="1"/>
  <c r="H68" i="7" s="1"/>
  <c r="I68" i="7" s="1"/>
  <c r="C83" i="7" s="1"/>
  <c r="D83" i="7" s="1"/>
  <c r="E83" i="7" s="1"/>
  <c r="F83" i="7" s="1"/>
  <c r="G83" i="7" s="1"/>
  <c r="H83" i="7" s="1"/>
  <c r="I83" i="7" s="1"/>
  <c r="C98" i="7" s="1"/>
  <c r="D98" i="7" s="1"/>
  <c r="E98" i="7" s="1"/>
  <c r="F98" i="7" s="1"/>
  <c r="G98" i="7" s="1"/>
  <c r="H98" i="7" s="1"/>
  <c r="I98" i="7" s="1"/>
  <c r="K8" i="7"/>
  <c r="C36" i="7" s="1"/>
  <c r="I92" i="7"/>
  <c r="H92" i="7"/>
  <c r="G92" i="7"/>
  <c r="F92" i="7"/>
  <c r="E92" i="7"/>
  <c r="D92" i="7"/>
  <c r="C92" i="7"/>
  <c r="I77" i="7"/>
  <c r="H77" i="7"/>
  <c r="G77" i="7"/>
  <c r="F77" i="7"/>
  <c r="E77" i="7"/>
  <c r="D77" i="7"/>
  <c r="C77" i="7"/>
  <c r="I62" i="7"/>
  <c r="H62" i="7"/>
  <c r="G62" i="7"/>
  <c r="F62" i="7"/>
  <c r="E62" i="7"/>
  <c r="D62" i="7"/>
  <c r="C62" i="7"/>
  <c r="I47" i="7"/>
  <c r="H47" i="7"/>
  <c r="G47" i="7"/>
  <c r="F47" i="7"/>
  <c r="E47" i="7"/>
  <c r="D47" i="7"/>
  <c r="C47" i="7"/>
  <c r="I32" i="7"/>
  <c r="H32" i="7"/>
  <c r="G32" i="7"/>
  <c r="F32" i="7"/>
  <c r="E32" i="7"/>
  <c r="D32" i="7"/>
  <c r="C32" i="7"/>
  <c r="J91" i="7"/>
  <c r="G16" i="7" s="1"/>
  <c r="J76" i="7"/>
  <c r="F16" i="7" s="1"/>
  <c r="J61" i="7"/>
  <c r="J46" i="7"/>
  <c r="D16" i="7" s="1"/>
  <c r="J31" i="7"/>
  <c r="C16" i="7" s="1"/>
  <c r="J90" i="7"/>
  <c r="G15" i="7" s="1"/>
  <c r="J75" i="7"/>
  <c r="F15" i="7" s="1"/>
  <c r="J60" i="7"/>
  <c r="E15" i="7" s="1"/>
  <c r="J45" i="7"/>
  <c r="D15" i="7" s="1"/>
  <c r="J30" i="7"/>
  <c r="C15" i="7" s="1"/>
  <c r="J89" i="7"/>
  <c r="G14" i="7" s="1"/>
  <c r="J74" i="7"/>
  <c r="F14" i="7" s="1"/>
  <c r="J59" i="7"/>
  <c r="E14" i="7" s="1"/>
  <c r="J44" i="7"/>
  <c r="D14" i="7" s="1"/>
  <c r="J29" i="7"/>
  <c r="C14" i="7" s="1"/>
  <c r="J88" i="7"/>
  <c r="G13" i="7" s="1"/>
  <c r="J73" i="7"/>
  <c r="F13" i="7" s="1"/>
  <c r="J58" i="7"/>
  <c r="E13" i="7" s="1"/>
  <c r="J43" i="7"/>
  <c r="D13" i="7" s="1"/>
  <c r="J28" i="7"/>
  <c r="C13" i="7" s="1"/>
  <c r="J87" i="7"/>
  <c r="G12" i="7" s="1"/>
  <c r="J72" i="7"/>
  <c r="F12" i="7" s="1"/>
  <c r="J57" i="7"/>
  <c r="E12" i="7" s="1"/>
  <c r="J42" i="7"/>
  <c r="D12" i="7" s="1"/>
  <c r="J27" i="7"/>
  <c r="C12" i="7" s="1"/>
  <c r="J86" i="7"/>
  <c r="G11" i="7" s="1"/>
  <c r="J71" i="7"/>
  <c r="F11" i="7" s="1"/>
  <c r="J56" i="7"/>
  <c r="E11" i="7" s="1"/>
  <c r="J41" i="7"/>
  <c r="D11" i="7" s="1"/>
  <c r="J26" i="7"/>
  <c r="C11" i="7" s="1"/>
  <c r="J85" i="7"/>
  <c r="G10" i="7" s="1"/>
  <c r="J70" i="7"/>
  <c r="F10" i="7" s="1"/>
  <c r="J55" i="7"/>
  <c r="E10" i="7" s="1"/>
  <c r="J40" i="7"/>
  <c r="J25" i="7"/>
  <c r="C10" i="7" s="1"/>
  <c r="J84" i="7"/>
  <c r="G9" i="7" s="1"/>
  <c r="J69" i="7"/>
  <c r="F9" i="7" s="1"/>
  <c r="J54" i="7"/>
  <c r="E9" i="7" s="1"/>
  <c r="J39" i="7"/>
  <c r="D9" i="7" s="1"/>
  <c r="J24" i="7"/>
  <c r="H215" i="10" l="1"/>
  <c r="D215" i="10" s="1"/>
  <c r="A190" i="10"/>
  <c r="A184" i="10"/>
  <c r="A199" i="10"/>
  <c r="A208" i="10"/>
  <c r="A178" i="10"/>
  <c r="A157" i="10"/>
  <c r="D9" i="12"/>
  <c r="F229" i="10"/>
  <c r="C19" i="12" s="1"/>
  <c r="E19" i="12" s="1"/>
  <c r="D6" i="12"/>
  <c r="I229" i="10"/>
  <c r="D8" i="12"/>
  <c r="E8" i="12" s="1"/>
  <c r="G229" i="10"/>
  <c r="D7" i="12"/>
  <c r="E7" i="12" s="1"/>
  <c r="F22" i="8"/>
  <c r="H17" i="7"/>
  <c r="J107" i="7"/>
  <c r="J47" i="7"/>
  <c r="F10" i="8"/>
  <c r="F36" i="8"/>
  <c r="F26" i="8"/>
  <c r="I15" i="7"/>
  <c r="J77" i="7"/>
  <c r="I13" i="7"/>
  <c r="I14" i="7"/>
  <c r="D10" i="7"/>
  <c r="D17" i="7" s="1"/>
  <c r="F216" i="10"/>
  <c r="F223" i="10" s="1"/>
  <c r="F227" i="10" s="1"/>
  <c r="F228" i="10" s="1"/>
  <c r="C6" i="12" s="1"/>
  <c r="I12" i="7"/>
  <c r="J32" i="7"/>
  <c r="C66" i="7"/>
  <c r="C9" i="7"/>
  <c r="I9" i="7" s="1"/>
  <c r="C7" i="7"/>
  <c r="C51" i="7"/>
  <c r="E216" i="10"/>
  <c r="E223" i="10" s="1"/>
  <c r="D214" i="10"/>
  <c r="D216" i="10" s="1"/>
  <c r="H214" i="10"/>
  <c r="F120" i="8"/>
  <c r="F31" i="8"/>
  <c r="G17" i="7"/>
  <c r="J92" i="7"/>
  <c r="J62" i="7"/>
  <c r="I11" i="7"/>
  <c r="E16" i="7"/>
  <c r="E17" i="7" s="1"/>
  <c r="F17" i="7"/>
  <c r="F103" i="8"/>
  <c r="F95" i="8"/>
  <c r="F16" i="8"/>
  <c r="F71" i="8"/>
  <c r="D39" i="12" s="1"/>
  <c r="C96" i="7"/>
  <c r="C21" i="7"/>
  <c r="C81" i="7"/>
  <c r="H216" i="10" l="1"/>
  <c r="I230" i="10"/>
  <c r="C21" i="12"/>
  <c r="E21" i="12" s="1"/>
  <c r="G230" i="10"/>
  <c r="C20" i="12"/>
  <c r="E20" i="12" s="1"/>
  <c r="I10" i="7"/>
  <c r="D38" i="12"/>
  <c r="D37" i="12"/>
  <c r="G8" i="3"/>
  <c r="C40" i="12" s="1"/>
  <c r="D40" i="12"/>
  <c r="D41" i="12"/>
  <c r="E6" i="12"/>
  <c r="F230" i="10"/>
  <c r="D223" i="10"/>
  <c r="D227" i="10" s="1"/>
  <c r="G6" i="3"/>
  <c r="C38" i="12" s="1"/>
  <c r="E38" i="12" s="1"/>
  <c r="E14" i="3"/>
  <c r="C17" i="7"/>
  <c r="H223" i="10"/>
  <c r="E227" i="10"/>
  <c r="E237" i="10" s="1"/>
  <c r="G9" i="3"/>
  <c r="C41" i="12" s="1"/>
  <c r="F38" i="8"/>
  <c r="F122" i="8" s="1"/>
  <c r="D35" i="12" s="1"/>
  <c r="G5" i="3"/>
  <c r="C37" i="12" s="1"/>
  <c r="I16" i="7"/>
  <c r="G7" i="3"/>
  <c r="C39" i="12" s="1"/>
  <c r="E39" i="12" s="1"/>
  <c r="I17" i="7" l="1"/>
  <c r="K13" i="7" s="1"/>
  <c r="E238" i="10"/>
  <c r="E37" i="12"/>
  <c r="E40" i="12"/>
  <c r="E41" i="12"/>
  <c r="E228" i="10"/>
  <c r="H227" i="10"/>
  <c r="H228" i="10" s="1"/>
  <c r="G10" i="3"/>
  <c r="C35" i="12" s="1"/>
  <c r="E35" i="12" s="1"/>
  <c r="E230" i="10" l="1"/>
  <c r="C5" i="12"/>
  <c r="E5" i="12" s="1"/>
  <c r="K16" i="7"/>
  <c r="K17" i="7" s="1"/>
  <c r="C9" i="12" l="1"/>
  <c r="E9" i="12" s="1"/>
</calcChain>
</file>

<file path=xl/comments1.xml><?xml version="1.0" encoding="utf-8"?>
<comments xmlns="http://schemas.openxmlformats.org/spreadsheetml/2006/main">
  <authors>
    <author>David Castro</author>
  </authors>
  <commentList>
    <comment ref="K39" authorId="0">
      <text>
        <r>
          <rPr>
            <b/>
            <sz val="9"/>
            <color indexed="81"/>
            <rFont val="Tahoma"/>
            <family val="2"/>
          </rPr>
          <t>AVERAGE AROUND 32 OZ</t>
        </r>
      </text>
    </comment>
    <comment ref="K41" authorId="0">
      <text>
        <r>
          <rPr>
            <b/>
            <sz val="9"/>
            <color indexed="81"/>
            <rFont val="Tahoma"/>
            <family val="2"/>
          </rPr>
          <t>AVERAGE  2 LB</t>
        </r>
      </text>
    </comment>
  </commentList>
</comments>
</file>

<file path=xl/sharedStrings.xml><?xml version="1.0" encoding="utf-8"?>
<sst xmlns="http://schemas.openxmlformats.org/spreadsheetml/2006/main" count="1332" uniqueCount="551">
  <si>
    <t>End of Month Inventory</t>
  </si>
  <si>
    <t>TOTALS</t>
  </si>
  <si>
    <t>FOOD</t>
  </si>
  <si>
    <t>SUPPLIES &amp; CHEMICALS</t>
  </si>
  <si>
    <t>FOOD TOTAL</t>
  </si>
  <si>
    <t>Beef</t>
  </si>
  <si>
    <t xml:space="preserve">Chemicals - Cleaning </t>
  </si>
  <si>
    <t>LIQUOR TOTAL</t>
  </si>
  <si>
    <t>Lamb</t>
  </si>
  <si>
    <t xml:space="preserve">Chemicals -Dishmachines </t>
  </si>
  <si>
    <t>BEER TOTAL</t>
  </si>
  <si>
    <t>Chicken</t>
  </si>
  <si>
    <t>Cleaning supplier &amp; paper goods</t>
  </si>
  <si>
    <t>WINE TOTAL</t>
  </si>
  <si>
    <t>Pork</t>
  </si>
  <si>
    <t>Supplies Catering &amp; take out menu</t>
  </si>
  <si>
    <t>N/A BEV TOTAL</t>
  </si>
  <si>
    <t>Seafood</t>
  </si>
  <si>
    <t>Others Supplies</t>
  </si>
  <si>
    <t>Grocery</t>
  </si>
  <si>
    <t>TOTAL</t>
  </si>
  <si>
    <t>Produce</t>
  </si>
  <si>
    <t>Dairy / Dessert</t>
  </si>
  <si>
    <t>Other Foods</t>
  </si>
  <si>
    <t>TOTAL OVERALL INVENTORY DOLLARS</t>
  </si>
  <si>
    <t>Unit Count</t>
  </si>
  <si>
    <t>Kitchen Area #2</t>
  </si>
  <si>
    <t>TOTAL QTY</t>
  </si>
  <si>
    <t>Price</t>
  </si>
  <si>
    <t>INV Total</t>
  </si>
  <si>
    <t>Vendor Name</t>
  </si>
  <si>
    <t xml:space="preserve">BEEF  </t>
  </si>
  <si>
    <t xml:space="preserve"> </t>
  </si>
  <si>
    <t>Beef Fat on Culotte (Picanha)</t>
  </si>
  <si>
    <t>Pound</t>
  </si>
  <si>
    <t>SYSCO</t>
  </si>
  <si>
    <t>Beef Ribs</t>
  </si>
  <si>
    <t>Beef Teres Major (Petite Filet)</t>
  </si>
  <si>
    <t>Flap Meat</t>
  </si>
  <si>
    <t>Tenderloin (Filet Mignon)</t>
  </si>
  <si>
    <t xml:space="preserve">LAMB  </t>
  </si>
  <si>
    <t>Lamb Leg</t>
  </si>
  <si>
    <t>Lamb Picahna</t>
  </si>
  <si>
    <t>Lamb Rack</t>
  </si>
  <si>
    <t>CHICKEN</t>
  </si>
  <si>
    <t>Chicken Breast</t>
  </si>
  <si>
    <t>Chicken Drumstick</t>
  </si>
  <si>
    <t>PORK</t>
  </si>
  <si>
    <t>Bacon 16/20</t>
  </si>
  <si>
    <t>Bacon 16/20 (Cooked)</t>
  </si>
  <si>
    <t>HOUSE</t>
  </si>
  <si>
    <t>Brazilian Sausage</t>
  </si>
  <si>
    <t>Pork - St. Luis Style Ribs</t>
  </si>
  <si>
    <t>Pork Loin</t>
  </si>
  <si>
    <t>Proscuito Speck</t>
  </si>
  <si>
    <t xml:space="preserve">Salami </t>
  </si>
  <si>
    <t>SEAFOOD</t>
  </si>
  <si>
    <t>Lobster Heads (Raw)</t>
  </si>
  <si>
    <t>Salmon Smoked</t>
  </si>
  <si>
    <t>SHRIMP 31-40 (Raw and Cooked)</t>
  </si>
  <si>
    <t>GROCERY-DRY GOODS</t>
  </si>
  <si>
    <t>Almonds</t>
  </si>
  <si>
    <t>Artichoke Hearts</t>
  </si>
  <si>
    <t>Each</t>
  </si>
  <si>
    <t>Baby Beets</t>
  </si>
  <si>
    <t>Base - Beef</t>
  </si>
  <si>
    <t>Base - Chicken</t>
  </si>
  <si>
    <t>Base - Lobster</t>
  </si>
  <si>
    <t>Beans - Black Turtle</t>
  </si>
  <si>
    <t>Bread Ciabatta Artisan (Each Bread)</t>
  </si>
  <si>
    <t>Bulghar</t>
  </si>
  <si>
    <t>Caper</t>
  </si>
  <si>
    <t>Caper Berries</t>
  </si>
  <si>
    <t>Cherry Maraschino</t>
  </si>
  <si>
    <t>Cold item - Tabouleah</t>
  </si>
  <si>
    <t>House</t>
  </si>
  <si>
    <t>Cold Items - Pasta Coucous Cooked</t>
  </si>
  <si>
    <t>Cold Items - Potato Salad</t>
  </si>
  <si>
    <t xml:space="preserve">Condensed Milk </t>
  </si>
  <si>
    <t>Bag or Can</t>
  </si>
  <si>
    <t>Corn Starch</t>
  </si>
  <si>
    <t xml:space="preserve">Cornichons </t>
  </si>
  <si>
    <t>Cramberries - Dry</t>
  </si>
  <si>
    <t xml:space="preserve">Croutons </t>
  </si>
  <si>
    <t>Bag</t>
  </si>
  <si>
    <t>Dressing - Balsamic</t>
  </si>
  <si>
    <t>Gallon</t>
  </si>
  <si>
    <t>Dressing - Blue Cheese</t>
  </si>
  <si>
    <t>Dressing - Brazilian Vianigrette</t>
  </si>
  <si>
    <t>Dressing - Caesar</t>
  </si>
  <si>
    <t>Dressing - Chimichurri</t>
  </si>
  <si>
    <t>Dressing - Italian</t>
  </si>
  <si>
    <t>Dressing - Ranch</t>
  </si>
  <si>
    <t>Dressing - Ranch Mix Powder (Pouches)</t>
  </si>
  <si>
    <t>Flour - Farinha Mandioca (Farofa)</t>
  </si>
  <si>
    <t xml:space="preserve">Flour - Sour Yucca (Polvilho Azedo) </t>
  </si>
  <si>
    <t xml:space="preserve">Flour - Sweet Yucca (Polvilho Doce) </t>
  </si>
  <si>
    <t>Flour - White</t>
  </si>
  <si>
    <t>Giardineira</t>
  </si>
  <si>
    <t>Hearts of Palm</t>
  </si>
  <si>
    <t>Honey</t>
  </si>
  <si>
    <t>Horseradish</t>
  </si>
  <si>
    <t>Hot Items - Cheesebread Batter</t>
  </si>
  <si>
    <t>Hot items - Feijoada</t>
  </si>
  <si>
    <t>Hot Items - Garlic Butter</t>
  </si>
  <si>
    <t>Hot Items - Potato Au Gratin Sauce</t>
  </si>
  <si>
    <t>Hot Items - Sautéed Mushrooms</t>
  </si>
  <si>
    <t>Hot Items - Soup Jalapeno Cream</t>
  </si>
  <si>
    <t>Hot Items - Soup Lobster Bisque</t>
  </si>
  <si>
    <t>Lemon Juice</t>
  </si>
  <si>
    <t>Liquid Smoked Hikory</t>
  </si>
  <si>
    <t>Mayonnaise</t>
  </si>
  <si>
    <t>Mint Jelly</t>
  </si>
  <si>
    <t>Mustard - Dijon</t>
  </si>
  <si>
    <t>Oil - Corn Oil</t>
  </si>
  <si>
    <t>Oil - Liq. Fry Shortening</t>
  </si>
  <si>
    <t>Oil - Olive Extra Virgin</t>
  </si>
  <si>
    <t>Oil - Vegetable or Soybean</t>
  </si>
  <si>
    <t>Olives - Green Queen Stuffed</t>
  </si>
  <si>
    <t>Olives - Kalamata Black</t>
  </si>
  <si>
    <t>Orange Marmalade</t>
  </si>
  <si>
    <t>Pan Coating - Cooking Oil Spray Can</t>
  </si>
  <si>
    <t xml:space="preserve">Pasta Couscous Israeli </t>
  </si>
  <si>
    <t>Peach</t>
  </si>
  <si>
    <t>Pepperoncini</t>
  </si>
  <si>
    <t xml:space="preserve">Peppers - Malagueta </t>
  </si>
  <si>
    <t>Potato - Mashed Instant Powder</t>
  </si>
  <si>
    <t>Rice - Jasmine</t>
  </si>
  <si>
    <t>Salt - Granulated Iodized</t>
  </si>
  <si>
    <t>Salt - Kosher</t>
  </si>
  <si>
    <t>Sauce - A1 Steak</t>
  </si>
  <si>
    <t>Sauce - BBQ Regular</t>
  </si>
  <si>
    <t>Sauce - Ketchup</t>
  </si>
  <si>
    <t>Sauce - Sriracha</t>
  </si>
  <si>
    <t>Sauce - Tabasco Hot 1 Gallon</t>
  </si>
  <si>
    <t>Sauce - Tabasco Hot Bottle 12oz</t>
  </si>
  <si>
    <t>Simple Syrup</t>
  </si>
  <si>
    <t>Spice - Cayenne Pepper</t>
  </si>
  <si>
    <t>Spice - Cinammon Gr.</t>
  </si>
  <si>
    <t>Spice - Cinammon Stix</t>
  </si>
  <si>
    <t>Spice - Cumin</t>
  </si>
  <si>
    <t>Spice - Dry Parsley</t>
  </si>
  <si>
    <t>Spice - Lemon Pepper</t>
  </si>
  <si>
    <t>Spice - Oregano</t>
  </si>
  <si>
    <t xml:space="preserve">Spice - Paprika </t>
  </si>
  <si>
    <t>Spice - Pepper Black Table Ground (Shakers)</t>
  </si>
  <si>
    <t>Spice - Pepper Blk Whole (Grinders)</t>
  </si>
  <si>
    <t>Spice - Pepper Coarse 1LB#</t>
  </si>
  <si>
    <t>Spice - Pepper Coarse 5LB#</t>
  </si>
  <si>
    <t>Spice - Pepper Red Crush</t>
  </si>
  <si>
    <t xml:space="preserve">Spice - Tarragon </t>
  </si>
  <si>
    <t>Sugar - Confectioner White Powder</t>
  </si>
  <si>
    <t>Sugar - Equal</t>
  </si>
  <si>
    <t>Case</t>
  </si>
  <si>
    <t>Sugar - Gran. X Fine</t>
  </si>
  <si>
    <t>Sugar - Raw Turbinado 2LB</t>
  </si>
  <si>
    <t>Sugar - Raw Turbinado Small Packets</t>
  </si>
  <si>
    <t>Sugar - Splenda</t>
  </si>
  <si>
    <t>Sugar - Sweet &amp; Low</t>
  </si>
  <si>
    <t>Sugar - White Sugar Small Packets</t>
  </si>
  <si>
    <t>Sundried Tomatoes</t>
  </si>
  <si>
    <t>Syrup - Caramel sauce</t>
  </si>
  <si>
    <t>Syrup - Chocolate sauce</t>
  </si>
  <si>
    <t>Syrup - Raspberry sauce</t>
  </si>
  <si>
    <t>Tomato Paste</t>
  </si>
  <si>
    <t xml:space="preserve">Tomato Sauce Magic </t>
  </si>
  <si>
    <t xml:space="preserve">Vinegar - Balsamic Vinegar </t>
  </si>
  <si>
    <t>Vinegar - Rice Vinegar</t>
  </si>
  <si>
    <t>Vinegar - White Vinegar Distilled</t>
  </si>
  <si>
    <t>PRODUCE</t>
  </si>
  <si>
    <t>Asparagus (Raw and Cooked)</t>
  </si>
  <si>
    <t>PRODU</t>
  </si>
  <si>
    <t>Bananas</t>
  </si>
  <si>
    <t>Cabbage</t>
  </si>
  <si>
    <t xml:space="preserve">Carrots Shredded </t>
  </si>
  <si>
    <t>Celery</t>
  </si>
  <si>
    <t>Cucumbers English</t>
  </si>
  <si>
    <t>Garlic Peeled</t>
  </si>
  <si>
    <t>Green Beans - Snipped (Raw and Cooked)</t>
  </si>
  <si>
    <t>Herbs - Cilantro</t>
  </si>
  <si>
    <t>Herbs - Mint</t>
  </si>
  <si>
    <t>Herbs - Parsley Fresh</t>
  </si>
  <si>
    <t xml:space="preserve">Herbs - Rosemary </t>
  </si>
  <si>
    <t>Herbs - Sage Fresh</t>
  </si>
  <si>
    <t>Herbs - Scallions Fresh 2 Pound (Green Onions)</t>
  </si>
  <si>
    <t>Lemon</t>
  </si>
  <si>
    <t>Lettuce - Red Leaf</t>
  </si>
  <si>
    <t>Lettuce - Romaine</t>
  </si>
  <si>
    <t>Lettuce - Spring Mix  / Arcadian</t>
  </si>
  <si>
    <t>Limes</t>
  </si>
  <si>
    <t>Mushroom - Small</t>
  </si>
  <si>
    <t xml:space="preserve">Onions - Red </t>
  </si>
  <si>
    <t>Onions - Yellow</t>
  </si>
  <si>
    <t>Orange</t>
  </si>
  <si>
    <t xml:space="preserve">Peppers - Green Bell </t>
  </si>
  <si>
    <t>Peppers - Jalapeno (Raw and Cooked)</t>
  </si>
  <si>
    <t>Peppers - Red Bell (Raw and Cooked)</t>
  </si>
  <si>
    <t>Peppers - Yellow Bell (Raw and Cooked)</t>
  </si>
  <si>
    <t>Pineapple (Raw and Cooked)</t>
  </si>
  <si>
    <t>Potatoes - Red B</t>
  </si>
  <si>
    <t>Potatoes - Yukon</t>
  </si>
  <si>
    <t>Tomato 4X5</t>
  </si>
  <si>
    <t>Tomato Cherry Red</t>
  </si>
  <si>
    <t>DAIRY / DESSERT</t>
  </si>
  <si>
    <t>Butter Ball</t>
  </si>
  <si>
    <t>Butter Solids Unsalted</t>
  </si>
  <si>
    <t>Cheese - American Grana Padan Wheel</t>
  </si>
  <si>
    <t>Cheese - Blue Cheese</t>
  </si>
  <si>
    <t>Cheese - Cream Cheese</t>
  </si>
  <si>
    <t>Cheese - Manchego Wheel</t>
  </si>
  <si>
    <t>Cheese - Mozzarella</t>
  </si>
  <si>
    <t>Cheese-Goat Cheese</t>
  </si>
  <si>
    <t>Cheese-Parmesan Grated</t>
  </si>
  <si>
    <t>Chocolate Bar Semi Sweet</t>
  </si>
  <si>
    <t>Dessert - Banana Foster</t>
  </si>
  <si>
    <t>Each Pie Box</t>
  </si>
  <si>
    <t>Dessert - Caramel Fudge Cheesecake</t>
  </si>
  <si>
    <t>Each Cake Box</t>
  </si>
  <si>
    <t>Dessert - Carrot Cake</t>
  </si>
  <si>
    <t>Dessert - Coconut Pie</t>
  </si>
  <si>
    <t>Dessert - Crème Brulee</t>
  </si>
  <si>
    <t>Dessert - Flan</t>
  </si>
  <si>
    <t>Dessert - Key Lime Pie</t>
  </si>
  <si>
    <t>Dessert - Passion Fruit Mousse</t>
  </si>
  <si>
    <t>Dessert - Pecan pie</t>
  </si>
  <si>
    <t>Dessert - White Dark Chocolate</t>
  </si>
  <si>
    <t>Egg Yolk Liquid</t>
  </si>
  <si>
    <t>Eggs Whole Liquid</t>
  </si>
  <si>
    <t>Graham Cracker Cookies</t>
  </si>
  <si>
    <t>Graham Cracker Crumbs</t>
  </si>
  <si>
    <r>
      <t xml:space="preserve">Graham Cracker Crumbs </t>
    </r>
    <r>
      <rPr>
        <b/>
        <u/>
        <sz val="10"/>
        <rFont val="Arial"/>
        <family val="2"/>
      </rPr>
      <t>Roasted Prepared</t>
    </r>
  </si>
  <si>
    <t>Half &amp; Half</t>
  </si>
  <si>
    <t>Heavy Cream</t>
  </si>
  <si>
    <t>Ice Cream</t>
  </si>
  <si>
    <t>Milk - Buttermilk</t>
  </si>
  <si>
    <t>Milk - Regular</t>
  </si>
  <si>
    <t>Milk - Skim Milk</t>
  </si>
  <si>
    <t>Passion Fruit Puree</t>
  </si>
  <si>
    <t>Potatoes - French Fries</t>
  </si>
  <si>
    <t>Whip Cream Can (Coffee Station)</t>
  </si>
  <si>
    <t>Coconut Milk Big Can #10</t>
  </si>
  <si>
    <t>Coconut Milk Small Can</t>
  </si>
  <si>
    <t>Enter the date the week start:</t>
  </si>
  <si>
    <t>Daily Payables</t>
  </si>
  <si>
    <t>SUPPLIERS</t>
  </si>
  <si>
    <t>week 1</t>
  </si>
  <si>
    <t>week 2</t>
  </si>
  <si>
    <t>week 3</t>
  </si>
  <si>
    <t>week 4</t>
  </si>
  <si>
    <t>week 5</t>
  </si>
  <si>
    <t>week 6</t>
  </si>
  <si>
    <t>Monthly total</t>
  </si>
  <si>
    <t>SALES</t>
  </si>
  <si>
    <t>Sysco</t>
  </si>
  <si>
    <t>Total Sales</t>
  </si>
  <si>
    <t>&lt;------ Input the gross food sales amount from the GTR report generated by Micros.</t>
  </si>
  <si>
    <t>Produce Alliance</t>
  </si>
  <si>
    <t>Selected Food</t>
  </si>
  <si>
    <t>Beg Inventory</t>
  </si>
  <si>
    <t>&lt;------ Input the inventory from the previous month.</t>
  </si>
  <si>
    <t>Purchases</t>
  </si>
  <si>
    <t>End Inventory</t>
  </si>
  <si>
    <t>Petty Cash</t>
  </si>
  <si>
    <t>CREDITS (Negative)</t>
  </si>
  <si>
    <t>Cost of Goods</t>
  </si>
  <si>
    <t>FOOD TOTALS</t>
  </si>
  <si>
    <t>FOOD COST</t>
  </si>
  <si>
    <t>Week 1</t>
  </si>
  <si>
    <t>Monday</t>
  </si>
  <si>
    <t>Tuesday</t>
  </si>
  <si>
    <t>Wednesday</t>
  </si>
  <si>
    <t>Thursday</t>
  </si>
  <si>
    <t>Friday</t>
  </si>
  <si>
    <t>Saturday</t>
  </si>
  <si>
    <t>Sunday</t>
  </si>
  <si>
    <t>WEEKLY TOTAL</t>
  </si>
  <si>
    <r>
      <t>&lt;------ the credit number add as negative number  (-number) for example "</t>
    </r>
    <r>
      <rPr>
        <b/>
        <sz val="16"/>
        <color rgb="FFC00000"/>
        <rFont val="Arial"/>
        <family val="2"/>
      </rPr>
      <t>-</t>
    </r>
    <r>
      <rPr>
        <b/>
        <sz val="10"/>
        <color rgb="FFC00000"/>
        <rFont val="Arial"/>
        <family val="2"/>
      </rPr>
      <t>$100")</t>
    </r>
  </si>
  <si>
    <t>Week 2</t>
  </si>
  <si>
    <t>WKLY TTLS</t>
  </si>
  <si>
    <t>Week 3</t>
  </si>
  <si>
    <t>Week 4</t>
  </si>
  <si>
    <t>Week 5</t>
  </si>
  <si>
    <t>Week 6</t>
  </si>
  <si>
    <t>CLEANING SUPPLIES</t>
  </si>
  <si>
    <t>Air Freshener-Don Aire</t>
  </si>
  <si>
    <t>case</t>
  </si>
  <si>
    <t>ED DON</t>
  </si>
  <si>
    <t>Bleach</t>
  </si>
  <si>
    <t>each</t>
  </si>
  <si>
    <t>Oven Cleaner</t>
  </si>
  <si>
    <t>Lime away</t>
  </si>
  <si>
    <t>CHEMICALS - BATHROONS</t>
  </si>
  <si>
    <t>Hand Soap coconut (guest bathrooms)</t>
  </si>
  <si>
    <t>Hand Soap sani  (BOH areas)</t>
  </si>
  <si>
    <t>Salt Pellet W Softener</t>
  </si>
  <si>
    <t>bag</t>
  </si>
  <si>
    <t>CHEMICALS - MOP STATION</t>
  </si>
  <si>
    <t>Cleaner Degrsr oasis 137</t>
  </si>
  <si>
    <t>gal</t>
  </si>
  <si>
    <t xml:space="preserve">CHEMICALS - 3 COMPARTMNETS SINK </t>
  </si>
  <si>
    <t>Pot and pans detergent - Scout</t>
  </si>
  <si>
    <t>Detergent Machine - solid power</t>
  </si>
  <si>
    <t>Rinse - Solid Brillance</t>
  </si>
  <si>
    <t>Pre-soak - Solid silver power</t>
  </si>
  <si>
    <t xml:space="preserve">CHEMICALS - BAR DISHWASHER </t>
  </si>
  <si>
    <t>Kitchen Supplies and paper goods</t>
  </si>
  <si>
    <t>Apron Poly</t>
  </si>
  <si>
    <t>Birthday Candle</t>
  </si>
  <si>
    <t>Coffee Filter</t>
  </si>
  <si>
    <t>Gloves Small</t>
  </si>
  <si>
    <t>Gloves Medium</t>
  </si>
  <si>
    <t>Gloves Large</t>
  </si>
  <si>
    <t>Gloves Extra Large</t>
  </si>
  <si>
    <t>Hairnet</t>
  </si>
  <si>
    <t>Kids Cup</t>
  </si>
  <si>
    <t>Label Use First</t>
  </si>
  <si>
    <t>roll</t>
  </si>
  <si>
    <t>Label shelf life 2x3</t>
  </si>
  <si>
    <t>Liner Trash bags small size</t>
  </si>
  <si>
    <t>Liner Trash bags big or large  size</t>
  </si>
  <si>
    <t>Mop</t>
  </si>
  <si>
    <t>Paper - hand towel roll</t>
  </si>
  <si>
    <t>Paper - Cup Cone</t>
  </si>
  <si>
    <t xml:space="preserve">      </t>
  </si>
  <si>
    <t>Paper - Guest Towel</t>
  </si>
  <si>
    <t>Paper - Pan Quillom</t>
  </si>
  <si>
    <t>Paper - Napkins</t>
  </si>
  <si>
    <t>Paper - Toilet</t>
  </si>
  <si>
    <t>Urinal Screen</t>
  </si>
  <si>
    <t>Plastic Film</t>
  </si>
  <si>
    <t>Aluminum Foil</t>
  </si>
  <si>
    <t>Pad Green Scour</t>
  </si>
  <si>
    <t>Pad Scrub steel sponge</t>
  </si>
  <si>
    <t>Storage Zip locked Bag</t>
  </si>
  <si>
    <t xml:space="preserve">stirrers </t>
  </si>
  <si>
    <t>Straw 5 3/4 inches</t>
  </si>
  <si>
    <t>Straw Jumbo 7.75 inches</t>
  </si>
  <si>
    <t>Total:</t>
  </si>
  <si>
    <t xml:space="preserve">Take -out and Catering Supplies </t>
  </si>
  <si>
    <t xml:space="preserve">To Go TDB Pastick silverwares disposible </t>
  </si>
  <si>
    <t>To Go Soup Container 16oz</t>
  </si>
  <si>
    <t>To Go 3 compartments container with lid</t>
  </si>
  <si>
    <t xml:space="preserve">To Go black Bowl 12/16oz </t>
  </si>
  <si>
    <t>To Go Lid  for black Bowl 1/16 oz</t>
  </si>
  <si>
    <t>To Go cup 2 oz for dressings</t>
  </si>
  <si>
    <t>To Go Small Bag for cheese bread</t>
  </si>
  <si>
    <t xml:space="preserve">To Go Label Tamper Seal </t>
  </si>
  <si>
    <t>Catering - plastig bag for catering orders</t>
  </si>
  <si>
    <t xml:space="preserve">Catering - 1/2 pan foil </t>
  </si>
  <si>
    <t xml:space="preserve">Catering -Lid for 1/2 pan foil </t>
  </si>
  <si>
    <t>Catering-Pizza box -for cheesebread</t>
  </si>
  <si>
    <t>Catering-Pastic plates disposible</t>
  </si>
  <si>
    <t>Catering-Tongs disposible size 6 1/2"</t>
  </si>
  <si>
    <t>Catering-Serving spoon disposible 9 inches</t>
  </si>
  <si>
    <t xml:space="preserve">Bag paper size small </t>
  </si>
  <si>
    <t>Bag paper size Large</t>
  </si>
  <si>
    <t>Toothpick Wood</t>
  </si>
  <si>
    <t xml:space="preserve">  </t>
  </si>
  <si>
    <t>Wine bag</t>
  </si>
  <si>
    <t>OTHER</t>
  </si>
  <si>
    <t>Charcoal Sysco</t>
  </si>
  <si>
    <t>Wax liquid for Center table</t>
  </si>
  <si>
    <t>Sterno 6Hrs</t>
  </si>
  <si>
    <t>SUPPLIES AND CHEMICALS - TOTAL:</t>
  </si>
  <si>
    <t>INVOICE
DATE</t>
  </si>
  <si>
    <t>INVOICE
NUMBER</t>
  </si>
  <si>
    <t>INVOICE
TOTAL</t>
  </si>
  <si>
    <t>5030
WINE PURCH.</t>
  </si>
  <si>
    <t>5010
LIQUOR PURCH.</t>
  </si>
  <si>
    <t>5020
BEER PURCH.</t>
  </si>
  <si>
    <t>TOTAL
ALCOHOL</t>
  </si>
  <si>
    <t>5032
N/A BEVERAGES</t>
  </si>
  <si>
    <t>WINE
CREDITS</t>
  </si>
  <si>
    <t>LIQUOR
CREDITS</t>
  </si>
  <si>
    <t>Southern Glazers</t>
  </si>
  <si>
    <t>Prime Line</t>
  </si>
  <si>
    <t>Coca Cola</t>
  </si>
  <si>
    <t>MONTHLY TOTALS</t>
  </si>
  <si>
    <t>Credit</t>
  </si>
  <si>
    <t>Adjusted Total</t>
  </si>
  <si>
    <t>Wine</t>
  </si>
  <si>
    <t>Liquor</t>
  </si>
  <si>
    <t>Beer</t>
  </si>
  <si>
    <t>Total Alcohol</t>
  </si>
  <si>
    <t>Non Alcholic</t>
  </si>
  <si>
    <t>MICROS GROSS SALES</t>
  </si>
  <si>
    <t>&lt;------ Gross sales on GTR report from Micros</t>
  </si>
  <si>
    <t>BEG INVENTOTY</t>
  </si>
  <si>
    <t>&lt;------ End inventory from previous month</t>
  </si>
  <si>
    <t>PURCHASES</t>
  </si>
  <si>
    <t>END INVENTORY</t>
  </si>
  <si>
    <t>&lt;------ Enter Bevinco interlipar report subtotal for each category</t>
  </si>
  <si>
    <t>COST OF GOODS</t>
  </si>
  <si>
    <t>ACTUAL %</t>
  </si>
  <si>
    <t>COST %</t>
  </si>
  <si>
    <t>DIFFERENCE</t>
  </si>
  <si>
    <t>&lt;------ Difference needs to be between + or - 2%</t>
  </si>
  <si>
    <t>Cost of Goods Percentages</t>
  </si>
  <si>
    <t>Food</t>
  </si>
  <si>
    <t>NA</t>
  </si>
  <si>
    <t>Last Year Average</t>
  </si>
  <si>
    <t>Yearly Avg</t>
  </si>
  <si>
    <t>Tri-Tip</t>
  </si>
  <si>
    <r>
      <rPr>
        <b/>
        <u/>
        <sz val="10"/>
        <color rgb="FFC00000"/>
        <rFont val="Arial"/>
        <family val="2"/>
      </rPr>
      <t>Special Feature Item</t>
    </r>
    <r>
      <rPr>
        <sz val="10"/>
        <color rgb="FFC00000"/>
        <rFont val="Arial"/>
        <family val="2"/>
      </rPr>
      <t>:</t>
    </r>
    <r>
      <rPr>
        <b/>
        <sz val="11"/>
        <rFont val="Arial"/>
        <family val="2"/>
      </rPr>
      <t>"              "</t>
    </r>
  </si>
  <si>
    <t>Moqueca Sauce</t>
  </si>
  <si>
    <t xml:space="preserve">Sanitizer -"Sink surface cleaner sanitizer" </t>
  </si>
  <si>
    <t>Floor cleaner -  "No rinse Alkaline floor cleaner "</t>
  </si>
  <si>
    <t xml:space="preserve">Surface and glass cleaner  </t>
  </si>
  <si>
    <t>Papaya</t>
  </si>
  <si>
    <t>To Go Box Black Cont Fold No 1 - 26oz</t>
  </si>
  <si>
    <t>Cont Rectangle 28oz Vent Black w/lid</t>
  </si>
  <si>
    <t>Butane</t>
  </si>
  <si>
    <t>Sanitizer bar (6112740)</t>
  </si>
  <si>
    <t>Detergent bar (6113326)</t>
  </si>
  <si>
    <t>Rinse Aid (6113722)</t>
  </si>
  <si>
    <t>Sanitizer Machine EcoSan (6113979)</t>
  </si>
  <si>
    <t>July</t>
  </si>
  <si>
    <t>January</t>
  </si>
  <si>
    <t>February</t>
  </si>
  <si>
    <t>March</t>
  </si>
  <si>
    <t>April</t>
  </si>
  <si>
    <t>May</t>
  </si>
  <si>
    <t>June</t>
  </si>
  <si>
    <t>August</t>
  </si>
  <si>
    <t>September</t>
  </si>
  <si>
    <t>October</t>
  </si>
  <si>
    <t>November</t>
  </si>
  <si>
    <t>December</t>
  </si>
  <si>
    <t>PROTEIN</t>
  </si>
  <si>
    <t>Inlude on the list below the items that are not on the list above</t>
  </si>
  <si>
    <t xml:space="preserve">NOT ON THE LIST </t>
  </si>
  <si>
    <t>Marinade for the meats (It's not protein)</t>
  </si>
  <si>
    <t>GRAND TOTAL:</t>
  </si>
  <si>
    <t xml:space="preserve">Unit </t>
  </si>
  <si>
    <t>Conversion</t>
  </si>
  <si>
    <t>1 gallon</t>
  </si>
  <si>
    <t>4 quarters</t>
  </si>
  <si>
    <t xml:space="preserve">How to Weight marinade meats </t>
  </si>
  <si>
    <t>If marinated meats are placed in a Lexan container, when weighing them, you should subtract the weight of the Lexan container.</t>
  </si>
  <si>
    <t xml:space="preserve">How to Weight skewered Meats </t>
  </si>
  <si>
    <t>When weighing skewered meats, make sure to subtract the weight of the skewer from the total weight.</t>
  </si>
  <si>
    <t>How to Weight prepared food</t>
  </si>
  <si>
    <t>*If prepare food are placed in any Lexan or cambron container, when weighing them, you should subtract the weight of the Lexan and cambro container.</t>
  </si>
  <si>
    <t>Kitchen Food Counting :</t>
  </si>
  <si>
    <r>
      <rPr>
        <b/>
        <u/>
        <sz val="10"/>
        <rFont val="Arial"/>
        <family val="2"/>
      </rPr>
      <t>Frying Oil:</t>
    </r>
    <r>
      <rPr>
        <sz val="10"/>
        <rFont val="Arial"/>
        <family val="2"/>
      </rPr>
      <t xml:space="preserve"> Ensure to count not just the unused oil in the plastic jugs but also the oil in the fryers.
</t>
    </r>
    <r>
      <rPr>
        <b/>
        <u/>
        <sz val="10"/>
        <rFont val="Arial"/>
        <family val="2"/>
      </rPr>
      <t>Count shrimp</t>
    </r>
    <r>
      <rPr>
        <sz val="10"/>
        <rFont val="Arial"/>
        <family val="2"/>
      </rPr>
      <t xml:space="preserve">:When counting the frozen of cases of shrimp, be sure to include the cooked shrimp and the shrimp salad at the salad area.
</t>
    </r>
    <r>
      <rPr>
        <b/>
        <u/>
        <sz val="10"/>
        <rFont val="Arial"/>
        <family val="2"/>
      </rPr>
      <t>Asparagus, bell peppers ,Pineapple and Other Vegetables:</t>
    </r>
    <r>
      <rPr>
        <sz val="10"/>
        <rFont val="Arial"/>
        <family val="2"/>
      </rPr>
      <t xml:space="preserve"> When counting the raw product, be sure to incorporate the cooked vegetables into the the count. For example, when counting the raw asparagus product, include the cooked asparagus in the count as well.
</t>
    </r>
    <r>
      <rPr>
        <b/>
        <u/>
        <sz val="10"/>
        <rFont val="Arial"/>
        <family val="2"/>
      </rPr>
      <t>Meats:</t>
    </r>
    <r>
      <rPr>
        <sz val="10"/>
        <rFont val="Arial"/>
        <family val="2"/>
      </rPr>
      <t xml:space="preserve"> Be comprehensive in counting all types of meats - boxed meat, marinated meat, skewered meat, fresh meat, and frozen meat. Even items like a bag of beef trimmings reserved for feijoada should be included in the count.</t>
    </r>
  </si>
  <si>
    <t xml:space="preserve">Food Prices must be updated every month </t>
  </si>
  <si>
    <t>FOOD INVENTORY:</t>
  </si>
  <si>
    <t>Enter the number of Wine Special bottles sold:</t>
  </si>
  <si>
    <t>Enter the price paid per bottle:</t>
  </si>
  <si>
    <t>Enter the selling price per bottle:</t>
  </si>
  <si>
    <t>Your bottle cost:</t>
  </si>
  <si>
    <t>This would have been your cost:</t>
  </si>
  <si>
    <t xml:space="preserve">MEAT USAGE CONSUMPTION MONTHLY REPORT </t>
  </si>
  <si>
    <t>LOCATION NAME :</t>
  </si>
  <si>
    <t>MONTH:</t>
  </si>
  <si>
    <t>Monthly Purchasing</t>
  </si>
  <si>
    <t>Picanha -Coulotte</t>
  </si>
  <si>
    <t>TENDERLOIN Filet Mignon</t>
  </si>
  <si>
    <t>Bacon 10/14 or 16/20 or 18/22</t>
  </si>
  <si>
    <t>Pork Ribs</t>
  </si>
  <si>
    <t xml:space="preserve">Sausage </t>
  </si>
  <si>
    <t xml:space="preserve">Lamb Leg </t>
  </si>
  <si>
    <t>Lamb Picanha</t>
  </si>
  <si>
    <r>
      <rPr>
        <b/>
        <sz val="12"/>
        <color rgb="FFC00000"/>
        <rFont val="Calibri"/>
        <family val="2"/>
        <scheme val="minor"/>
      </rPr>
      <t xml:space="preserve">SPECIAL FEATURE ITEM               </t>
    </r>
    <r>
      <rPr>
        <b/>
        <sz val="10"/>
        <color rgb="FFC00000"/>
        <rFont val="Calibri"/>
        <family val="2"/>
        <scheme val="minor"/>
      </rPr>
      <t>"</t>
    </r>
    <r>
      <rPr>
        <b/>
        <sz val="11"/>
        <color rgb="FFC00000"/>
        <rFont val="Calibri"/>
        <family val="2"/>
        <scheme val="minor"/>
      </rPr>
      <t>__________</t>
    </r>
    <r>
      <rPr>
        <b/>
        <sz val="10"/>
        <color rgb="FFC00000"/>
        <rFont val="Calibri"/>
        <family val="2"/>
        <scheme val="minor"/>
      </rPr>
      <t>"</t>
    </r>
  </si>
  <si>
    <t xml:space="preserve"> Day </t>
  </si>
  <si>
    <t xml:space="preserve">TOTAL MONTHLY PURCHASING </t>
  </si>
  <si>
    <t>Picanha-Coulotte</t>
  </si>
  <si>
    <t>INITIAL INVENTORY/FINAL INVENTORY</t>
  </si>
  <si>
    <t xml:space="preserve">REPORTS COMPSUMPTION OF MEATS </t>
  </si>
  <si>
    <r>
      <t>Restaurant Consumption</t>
    </r>
    <r>
      <rPr>
        <b/>
        <sz val="18"/>
        <color rgb="FFC00000"/>
        <rFont val="Calibri"/>
        <family val="2"/>
        <scheme val="minor"/>
      </rPr>
      <t xml:space="preserve"> per OZ of Meat (All Combined)</t>
    </r>
  </si>
  <si>
    <t>Initial Inventory</t>
  </si>
  <si>
    <t>Final Inventory</t>
  </si>
  <si>
    <t>Catering Events</t>
  </si>
  <si>
    <r>
      <rPr>
        <b/>
        <u/>
        <sz val="14"/>
        <color theme="1"/>
        <rFont val="Abadi"/>
        <family val="2"/>
      </rPr>
      <t>MONTHLY MEAT USAGE</t>
    </r>
    <r>
      <rPr>
        <b/>
        <u/>
        <sz val="14"/>
        <color theme="1"/>
        <rFont val="Calibri"/>
        <family val="2"/>
        <scheme val="minor"/>
      </rPr>
      <t xml:space="preserve">  - </t>
    </r>
    <r>
      <rPr>
        <b/>
        <u/>
        <sz val="14"/>
        <color rgb="FFFF0000"/>
        <rFont val="Calibri"/>
        <family val="2"/>
        <scheme val="minor"/>
      </rPr>
      <t xml:space="preserve">PER POUND </t>
    </r>
  </si>
  <si>
    <r>
      <t xml:space="preserve">MONTHLY CONSUMPTION     </t>
    </r>
    <r>
      <rPr>
        <b/>
        <u/>
        <sz val="14"/>
        <color rgb="FFFF0000"/>
        <rFont val="Calibri"/>
        <family val="2"/>
        <scheme val="minor"/>
      </rPr>
      <t xml:space="preserve">ONCES (OZ) </t>
    </r>
    <r>
      <rPr>
        <b/>
        <u/>
        <sz val="14"/>
        <color theme="1"/>
        <rFont val="Calibri"/>
        <family val="2"/>
        <scheme val="minor"/>
      </rPr>
      <t>PER PERSON SERVED</t>
    </r>
  </si>
  <si>
    <t>OZ</t>
  </si>
  <si>
    <t>COULOTTE</t>
  </si>
  <si>
    <r>
      <t>Restaurant Consumption</t>
    </r>
    <r>
      <rPr>
        <b/>
        <u/>
        <sz val="16"/>
        <color rgb="FFC00000"/>
        <rFont val="Calibri"/>
        <family val="2"/>
        <scheme val="minor"/>
      </rPr>
      <t xml:space="preserve"> per LB of Meat (All Combined)</t>
    </r>
  </si>
  <si>
    <t>FLAP MEAT</t>
  </si>
  <si>
    <t>LB</t>
  </si>
  <si>
    <t>SHORT RIBS</t>
  </si>
  <si>
    <t>TENDERLOIN</t>
  </si>
  <si>
    <t>TRI-TIP</t>
  </si>
  <si>
    <t>BACON</t>
  </si>
  <si>
    <t>PORK RIBS</t>
  </si>
  <si>
    <t>PORK LOIN</t>
  </si>
  <si>
    <t>SAUSAGE</t>
  </si>
  <si>
    <t>CHICKEN BREAST</t>
  </si>
  <si>
    <t>CHICKEN DRUMSTICK</t>
  </si>
  <si>
    <t>LEG LAMB</t>
  </si>
  <si>
    <t>RACK LAMB</t>
  </si>
  <si>
    <t>LAMB PICANHA</t>
  </si>
  <si>
    <t>Monthly Covers</t>
  </si>
  <si>
    <t>Lunch:</t>
  </si>
  <si>
    <t>Dinner:</t>
  </si>
  <si>
    <t>TOTAL COVERS:</t>
  </si>
  <si>
    <t>RNDC</t>
  </si>
  <si>
    <t>Please explain why the inventory variance exceeds ±2% in any of the categories:</t>
  </si>
  <si>
    <t>Difference:</t>
  </si>
  <si>
    <t>Cranberry wlk</t>
  </si>
  <si>
    <t>Turkey Brst</t>
  </si>
  <si>
    <t>Marsmallows</t>
  </si>
  <si>
    <t>Cornbread Stuffin mix</t>
  </si>
  <si>
    <t xml:space="preserve">sys cls yam cut </t>
  </si>
  <si>
    <t>Bean kidney Red low sodium</t>
  </si>
  <si>
    <t>Corn whole kernel</t>
  </si>
  <si>
    <t>Green curry paste</t>
  </si>
  <si>
    <t xml:space="preserve">Lb </t>
  </si>
  <si>
    <t>box</t>
  </si>
  <si>
    <t>CHEMICALS TOTAL</t>
  </si>
  <si>
    <t>WINE COST</t>
  </si>
  <si>
    <t>LIQUOR COST</t>
  </si>
  <si>
    <t>BEER COST</t>
  </si>
  <si>
    <t>N/A COST</t>
  </si>
  <si>
    <t>&lt;------ Enter the [Yearly Average] from the previous year here</t>
  </si>
  <si>
    <t>CHEMICALS - DISHWASHER MACHINE</t>
  </si>
  <si>
    <t>Sub-total</t>
  </si>
  <si>
    <t>Cleaning and Chemicals</t>
  </si>
  <si>
    <t>Not on the list above</t>
  </si>
  <si>
    <t>WINE ACTUAL %</t>
  </si>
  <si>
    <t>LIQUOR ACTUAL %</t>
  </si>
  <si>
    <t>BEER ACTUAL %</t>
  </si>
  <si>
    <t>N/A ACTUAL %</t>
  </si>
  <si>
    <t>Enter the regular wine list price per bottle:</t>
  </si>
  <si>
    <t>NuCO2</t>
  </si>
  <si>
    <t>CO2 FOR THE FOUNTAIN MACHINE</t>
  </si>
  <si>
    <t>PETTY CASH</t>
  </si>
  <si>
    <t>Republic of Tea</t>
  </si>
  <si>
    <t>NON FINTECH INVOICES</t>
  </si>
  <si>
    <t>FINTECH INVOICES</t>
  </si>
  <si>
    <t>FINTECH
TOTAL</t>
  </si>
  <si>
    <t>Ver 10.14.25</t>
  </si>
  <si>
    <t>Texas de Brazil - Tokyo JP</t>
  </si>
  <si>
    <t>GRAND TOTAL not found</t>
  </si>
  <si>
    <t>southern glazers cont.</t>
  </si>
  <si>
    <t>Pepin</t>
  </si>
  <si>
    <t>jj taylor</t>
  </si>
  <si>
    <t>cavalier</t>
  </si>
  <si>
    <t>Breakthru Bev</t>
  </si>
  <si>
    <t>1.8.26</t>
  </si>
  <si>
    <t>1.15.26</t>
  </si>
  <si>
    <t>1.2.26</t>
  </si>
  <si>
    <t>1.22.26</t>
  </si>
  <si>
    <t>MS BEVER@GE</t>
  </si>
  <si>
    <t>NO</t>
  </si>
  <si>
    <t>ORDER</t>
  </si>
  <si>
    <t>THIS WEEK</t>
  </si>
  <si>
    <t>1.21.26</t>
  </si>
  <si>
    <t>no order</t>
  </si>
  <si>
    <t>this month</t>
  </si>
  <si>
    <t>1.6.26</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</si>
</sst>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7" formatCode="&quot;$&quot;#,##0.00_);\(&quot;$&quot;#,##0.00\)"/>
    <numFmt numFmtId="8" formatCode="&quot;$&quot;#,##0.00_);[Red]\(&quot;$&quot;#,##0.00\)"/>
    <numFmt numFmtId="44" formatCode="_(&quot;$&quot;* #,##0.00_);_(&quot;$&quot;* \(#,##0.00\);_(&quot;$&quot;* &quot;-&quot;??_);_(@_)"/>
    <numFmt numFmtId="43" formatCode="_(* #,##0.00_);_(* \(#,##0.00\);_(* &quot;-&quot;??_);_(@_)"/>
    <numFmt numFmtId="164" formatCode="_(* #,##0_);_(* \(#,##0\);_(* &quot;-&quot;??_);_(@_)"/>
    <numFmt numFmtId="165" formatCode="[$-409]mmm\-yy;@"/>
    <numFmt numFmtId="166" formatCode="&quot;$&quot;#,##0.00"/>
    <numFmt numFmtId="167" formatCode="mmm\-yyyy"/>
    <numFmt numFmtId="168" formatCode="mmmm"/>
    <numFmt numFmtId="169" formatCode="mmmm\ yyyy"/>
    <numFmt numFmtId="170" formatCode="[$-1010409]General"/>
    <numFmt numFmtId="171" formatCode="[$-409]mmm\-yyyy;@"/>
    <numFmt numFmtId="172" formatCode="yyyy"/>
    <numFmt numFmtId="173" formatCode="_(\$* #,##0.00_);_(\$* \(#,##0.00\);_(\$* \-??_);_(@_)"/>
    <numFmt numFmtId="174" formatCode="[$-409]mmmm\-yy;@"/>
    <numFmt numFmtId="175" formatCode="_(* #,##0.0_);_(* \(#,##0.0\);_(* &quot;-&quot;??_);_(@_)"/>
    <numFmt numFmtId="176" formatCode="0.0"/>
    <numFmt numFmtId="177" formatCode="mmm\ dd"/>
    <numFmt numFmtId="178" formatCode="\-&quot;$&quot;#,##0.00"/>
  </numFmts>
  <fonts count="130">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b/>
      <sz val="12"/>
      <name val="Arial"/>
      <family val="2"/>
    </font>
    <font>
      <sz val="11"/>
      <name val="Arial"/>
      <family val="2"/>
    </font>
    <font>
      <sz val="10"/>
      <name val="Arial"/>
      <family val="2"/>
    </font>
    <font>
      <b/>
      <sz val="14"/>
      <name val="Arial"/>
      <family val="2"/>
    </font>
    <font>
      <u/>
      <sz val="10"/>
      <color indexed="12"/>
      <name val="Arial"/>
      <family val="2"/>
    </font>
    <font>
      <sz val="12"/>
      <name val="Arial"/>
      <family val="2"/>
    </font>
    <font>
      <sz val="20"/>
      <name val="Arial"/>
      <family val="2"/>
    </font>
    <font>
      <sz val="8"/>
      <name val="Arial"/>
      <family val="2"/>
    </font>
    <font>
      <b/>
      <sz val="11"/>
      <name val="Arial"/>
      <family val="2"/>
    </font>
    <font>
      <sz val="11"/>
      <name val="Comic Sans MS"/>
      <family val="4"/>
    </font>
    <font>
      <b/>
      <sz val="10"/>
      <name val="Comic Sans MS"/>
      <family val="4"/>
    </font>
    <font>
      <b/>
      <sz val="11"/>
      <name val="Comic Sans MS"/>
      <family val="4"/>
    </font>
    <font>
      <sz val="10"/>
      <name val="Comic Sans MS"/>
      <family val="4"/>
    </font>
    <font>
      <b/>
      <sz val="12"/>
      <name val="Comic Sans MS"/>
      <family val="4"/>
    </font>
    <font>
      <b/>
      <sz val="16"/>
      <name val="Arial"/>
      <family val="2"/>
    </font>
    <font>
      <b/>
      <sz val="14"/>
      <name val="Book Antiqua"/>
      <family val="1"/>
    </font>
    <font>
      <b/>
      <sz val="22"/>
      <name val="Book Antiqua"/>
      <family val="1"/>
    </font>
    <font>
      <b/>
      <sz val="8"/>
      <name val="Arial"/>
      <family val="2"/>
    </font>
    <font>
      <b/>
      <u/>
      <sz val="12"/>
      <name val="Arial"/>
      <family val="2"/>
    </font>
    <font>
      <sz val="11"/>
      <name val="Calibri"/>
      <family val="2"/>
    </font>
    <font>
      <sz val="11"/>
      <color indexed="8"/>
      <name val="Calibri"/>
      <family val="2"/>
    </font>
    <font>
      <sz val="10"/>
      <name val="Arial"/>
      <family val="2"/>
    </font>
    <font>
      <sz val="11"/>
      <name val="Calibri"/>
      <family val="2"/>
    </font>
    <font>
      <sz val="12"/>
      <name val="Calibri"/>
      <family val="2"/>
    </font>
    <font>
      <b/>
      <sz val="14"/>
      <name val="Comic Sans MS"/>
      <family val="4"/>
    </font>
    <font>
      <sz val="14"/>
      <name val="Comic Sans MS"/>
      <family val="4"/>
    </font>
    <font>
      <b/>
      <sz val="16"/>
      <name val="Comic Sans MS"/>
      <family val="4"/>
    </font>
    <font>
      <sz val="11"/>
      <name val="Calibri"/>
      <family val="2"/>
    </font>
    <font>
      <sz val="11"/>
      <color theme="1"/>
      <name val="Calibri"/>
      <family val="2"/>
      <scheme val="minor"/>
    </font>
    <font>
      <b/>
      <sz val="13"/>
      <color theme="0"/>
      <name val="Arial"/>
      <family val="2"/>
    </font>
    <font>
      <u/>
      <sz val="11"/>
      <color theme="10"/>
      <name val="Calibri"/>
      <family val="2"/>
    </font>
    <font>
      <sz val="11"/>
      <color theme="1"/>
      <name val="Book Antiqua"/>
      <family val="1"/>
    </font>
    <font>
      <b/>
      <sz val="10"/>
      <color rgb="FFFF0000"/>
      <name val="Arial"/>
      <family val="2"/>
    </font>
    <font>
      <b/>
      <sz val="12"/>
      <color rgb="FFFF0000"/>
      <name val="Arial"/>
      <family val="2"/>
    </font>
    <font>
      <sz val="10"/>
      <color rgb="FFFF0000"/>
      <name val="Arial"/>
      <family val="2"/>
    </font>
    <font>
      <b/>
      <sz val="16"/>
      <color rgb="FFC00000"/>
      <name val="Arial"/>
      <family val="2"/>
    </font>
    <font>
      <sz val="10"/>
      <color rgb="FFC00000"/>
      <name val="Arial"/>
      <family val="2"/>
    </font>
    <font>
      <b/>
      <sz val="12"/>
      <color rgb="FFC00000"/>
      <name val="Arial"/>
      <family val="2"/>
    </font>
    <font>
      <b/>
      <sz val="10"/>
      <color rgb="FFC00000"/>
      <name val="Arial"/>
      <family val="2"/>
    </font>
    <font>
      <b/>
      <u/>
      <sz val="10"/>
      <color rgb="FFC00000"/>
      <name val="Arial"/>
      <family val="2"/>
    </font>
    <font>
      <b/>
      <u/>
      <sz val="10"/>
      <color theme="0"/>
      <name val="Amasis MT Pro Black"/>
      <family val="1"/>
    </font>
    <font>
      <sz val="11"/>
      <color rgb="FF006100"/>
      <name val="Calibri"/>
      <family val="2"/>
      <scheme val="minor"/>
    </font>
    <font>
      <sz val="10"/>
      <name val="Arial"/>
      <family val="2"/>
      <charset val="1"/>
    </font>
    <font>
      <sz val="11"/>
      <color rgb="FF9C6500"/>
      <name val="Calibri"/>
      <family val="2"/>
      <scheme val="minor"/>
    </font>
    <font>
      <b/>
      <sz val="11"/>
      <color theme="4"/>
      <name val="Arial"/>
      <family val="2"/>
    </font>
    <font>
      <b/>
      <sz val="9"/>
      <name val="Arial"/>
      <family val="2"/>
    </font>
    <font>
      <b/>
      <sz val="9"/>
      <name val="Book Antiqua"/>
      <family val="1"/>
    </font>
    <font>
      <sz val="9"/>
      <name val="Arial"/>
      <family val="2"/>
    </font>
    <font>
      <b/>
      <sz val="10"/>
      <color theme="4"/>
      <name val="Arial"/>
      <family val="2"/>
    </font>
    <font>
      <b/>
      <u/>
      <sz val="10"/>
      <name val="Arial"/>
      <family val="2"/>
    </font>
    <font>
      <b/>
      <sz val="12"/>
      <color theme="4"/>
      <name val="Arial"/>
      <family val="2"/>
    </font>
    <font>
      <b/>
      <u/>
      <sz val="11"/>
      <color theme="3"/>
      <name val="Arial"/>
      <family val="2"/>
    </font>
    <font>
      <b/>
      <u/>
      <sz val="14"/>
      <name val="Aharoni"/>
      <charset val="177"/>
    </font>
    <font>
      <b/>
      <sz val="16"/>
      <name val="Book Antiqua"/>
      <family val="1"/>
    </font>
    <font>
      <sz val="10"/>
      <color indexed="8"/>
      <name val="Arial"/>
      <family val="2"/>
    </font>
    <font>
      <b/>
      <u/>
      <sz val="11"/>
      <name val="Arial"/>
      <family val="2"/>
    </font>
    <font>
      <b/>
      <u/>
      <sz val="12"/>
      <name val="Book Antiqua"/>
      <family val="1"/>
    </font>
    <font>
      <sz val="8"/>
      <name val="Arial"/>
      <family val="2"/>
    </font>
    <font>
      <b/>
      <sz val="18"/>
      <name val="Book Antiqua"/>
      <family val="1"/>
    </font>
    <font>
      <b/>
      <u/>
      <sz val="10"/>
      <name val="Book Antiqua"/>
      <family val="1"/>
    </font>
    <font>
      <b/>
      <i/>
      <u/>
      <sz val="12"/>
      <name val="Amasis MT Pro Black"/>
      <family val="1"/>
    </font>
    <font>
      <b/>
      <u/>
      <sz val="14"/>
      <name val="Arial"/>
      <family val="2"/>
    </font>
    <font>
      <b/>
      <sz val="14"/>
      <color theme="3"/>
      <name val="Arial"/>
      <family val="2"/>
    </font>
    <font>
      <b/>
      <sz val="8"/>
      <name val="Comic Sans MS"/>
      <family val="4"/>
    </font>
    <font>
      <b/>
      <sz val="16"/>
      <color theme="0"/>
      <name val="Comic Sans MS"/>
      <family val="4"/>
    </font>
    <font>
      <b/>
      <u/>
      <sz val="11"/>
      <color rgb="FFFF0000"/>
      <name val="Arial"/>
      <family val="2"/>
    </font>
    <font>
      <b/>
      <u/>
      <sz val="11"/>
      <color rgb="FFFF0000"/>
      <name val="Comic Sans MS"/>
      <family val="4"/>
    </font>
    <font>
      <sz val="8"/>
      <name val="Arial"/>
      <family val="2"/>
    </font>
    <font>
      <b/>
      <sz val="48"/>
      <name val="Arial"/>
      <family val="2"/>
    </font>
    <font>
      <sz val="14"/>
      <name val="Arial"/>
      <family val="2"/>
    </font>
    <font>
      <b/>
      <sz val="36"/>
      <color rgb="FF000000"/>
      <name val="Arial"/>
      <family val="2"/>
    </font>
    <font>
      <b/>
      <sz val="18"/>
      <color rgb="FF000000"/>
      <name val="Arial"/>
      <family val="2"/>
    </font>
    <font>
      <b/>
      <sz val="11"/>
      <color theme="1"/>
      <name val="Calibri"/>
      <family val="2"/>
      <scheme val="minor"/>
    </font>
    <font>
      <b/>
      <u/>
      <sz val="14"/>
      <color theme="1"/>
      <name val="Arial Rounded MT Bold"/>
      <family val="2"/>
    </font>
    <font>
      <b/>
      <u/>
      <sz val="14"/>
      <color theme="1"/>
      <name val="Calibri"/>
      <family val="2"/>
      <scheme val="minor"/>
    </font>
    <font>
      <b/>
      <u/>
      <sz val="20"/>
      <color theme="1"/>
      <name val="Calibri"/>
      <family val="2"/>
      <scheme val="minor"/>
    </font>
    <font>
      <b/>
      <i/>
      <u/>
      <sz val="14"/>
      <color theme="1"/>
      <name val="Calibri"/>
      <family val="2"/>
      <scheme val="minor"/>
    </font>
    <font>
      <b/>
      <u/>
      <sz val="14"/>
      <color theme="0"/>
      <name val="Arial Black"/>
      <family val="2"/>
    </font>
    <font>
      <b/>
      <sz val="14"/>
      <color rgb="FFFF0000"/>
      <name val="Calibri"/>
      <family val="2"/>
      <scheme val="minor"/>
    </font>
    <font>
      <b/>
      <u/>
      <sz val="18"/>
      <color theme="1"/>
      <name val="Calibri"/>
      <family val="2"/>
      <scheme val="minor"/>
    </font>
    <font>
      <b/>
      <sz val="16"/>
      <color theme="1"/>
      <name val="Calibri"/>
      <family val="2"/>
      <scheme val="minor"/>
    </font>
    <font>
      <b/>
      <sz val="12"/>
      <color theme="1"/>
      <name val="Calibri"/>
      <family val="2"/>
      <scheme val="minor"/>
    </font>
    <font>
      <b/>
      <sz val="14"/>
      <color theme="1"/>
      <name val="Calibri"/>
      <family val="2"/>
      <scheme val="minor"/>
    </font>
    <font>
      <b/>
      <sz val="11"/>
      <color rgb="FFC00000"/>
      <name val="Calibri"/>
      <family val="2"/>
      <scheme val="minor"/>
    </font>
    <font>
      <b/>
      <sz val="12"/>
      <color rgb="FFC00000"/>
      <name val="Calibri"/>
      <family val="2"/>
      <scheme val="minor"/>
    </font>
    <font>
      <b/>
      <sz val="10"/>
      <color rgb="FFC00000"/>
      <name val="Calibri"/>
      <family val="2"/>
      <scheme val="minor"/>
    </font>
    <font>
      <sz val="12"/>
      <color theme="1"/>
      <name val="Calibri"/>
      <family val="2"/>
      <scheme val="minor"/>
    </font>
    <font>
      <b/>
      <u/>
      <sz val="12"/>
      <color rgb="FFFF0000"/>
      <name val="Calibri"/>
      <family val="2"/>
      <scheme val="minor"/>
    </font>
    <font>
      <b/>
      <sz val="18"/>
      <color rgb="FFFF0000"/>
      <name val="Calibri"/>
      <family val="2"/>
      <scheme val="minor"/>
    </font>
    <font>
      <sz val="14"/>
      <color theme="1"/>
      <name val="Calibri"/>
      <family val="2"/>
      <scheme val="minor"/>
    </font>
    <font>
      <b/>
      <u/>
      <sz val="11"/>
      <name val="Calibri"/>
      <family val="2"/>
      <scheme val="minor"/>
    </font>
    <font>
      <b/>
      <u/>
      <sz val="16"/>
      <name val="Calibri"/>
      <family val="2"/>
      <scheme val="minor"/>
    </font>
    <font>
      <b/>
      <u/>
      <sz val="22"/>
      <color theme="1"/>
      <name val="Amasis MT Pro Black"/>
      <family val="1"/>
    </font>
    <font>
      <b/>
      <sz val="18"/>
      <color theme="1"/>
      <name val="Calibri"/>
      <family val="2"/>
      <scheme val="minor"/>
    </font>
    <font>
      <b/>
      <sz val="18"/>
      <color rgb="FFC00000"/>
      <name val="Calibri"/>
      <family val="2"/>
      <scheme val="minor"/>
    </font>
    <font>
      <b/>
      <sz val="20"/>
      <color theme="1"/>
      <name val="Arial"/>
      <family val="2"/>
      <charset val="1"/>
    </font>
    <font>
      <b/>
      <sz val="18"/>
      <color theme="1"/>
      <name val="Arial"/>
      <family val="2"/>
      <charset val="1"/>
    </font>
    <font>
      <b/>
      <u/>
      <sz val="14"/>
      <color theme="1"/>
      <name val="Abadi"/>
      <family val="2"/>
    </font>
    <font>
      <b/>
      <u/>
      <sz val="14"/>
      <color rgb="FFFF0000"/>
      <name val="Calibri"/>
      <family val="2"/>
      <scheme val="minor"/>
    </font>
    <font>
      <sz val="11"/>
      <color theme="1"/>
      <name val="Verdana"/>
      <family val="2"/>
    </font>
    <font>
      <b/>
      <u/>
      <sz val="16"/>
      <color theme="1"/>
      <name val="Calibri"/>
      <family val="2"/>
      <scheme val="minor"/>
    </font>
    <font>
      <b/>
      <u/>
      <sz val="16"/>
      <color rgb="FFC00000"/>
      <name val="Calibri"/>
      <family val="2"/>
      <scheme val="minor"/>
    </font>
    <font>
      <b/>
      <sz val="20"/>
      <color theme="1"/>
      <name val="Calibri"/>
      <family val="2"/>
      <scheme val="minor"/>
    </font>
    <font>
      <sz val="11"/>
      <color theme="1"/>
      <name val="Arial"/>
      <family val="2"/>
    </font>
    <font>
      <b/>
      <u/>
      <sz val="16"/>
      <color theme="1"/>
      <name val="Amasis MT Pro Black"/>
      <family val="1"/>
    </font>
    <font>
      <b/>
      <u/>
      <sz val="10"/>
      <color rgb="FFFF0000"/>
      <name val="Verdana"/>
      <family val="2"/>
    </font>
    <font>
      <b/>
      <u/>
      <sz val="8"/>
      <color rgb="FFFF0000"/>
      <name val="Verdana"/>
      <family val="2"/>
    </font>
    <font>
      <b/>
      <sz val="9"/>
      <color indexed="81"/>
      <name val="Tahoma"/>
      <family val="2"/>
    </font>
    <font>
      <b/>
      <sz val="12"/>
      <name val="Book Antiqua"/>
      <family val="1"/>
    </font>
    <font>
      <b/>
      <u/>
      <sz val="14"/>
      <name val="Arial Black"/>
      <family val="2"/>
    </font>
    <font>
      <b/>
      <sz val="20"/>
      <color rgb="FFC00000"/>
      <name val="Arial"/>
      <family val="2"/>
    </font>
    <font>
      <b/>
      <sz val="18"/>
      <color rgb="FFC00000"/>
      <name val="Arial"/>
      <family val="2"/>
    </font>
    <font>
      <sz val="11"/>
      <name val="Aptos Narrow"/>
      <family val="2"/>
    </font>
    <font>
      <b/>
      <sz val="12"/>
      <color theme="0"/>
      <name val="Arial"/>
      <family val="2"/>
    </font>
    <font>
      <b/>
      <sz val="20"/>
      <name val="Arial"/>
      <family val="2"/>
    </font>
    <font>
      <b/>
      <sz val="10"/>
      <name val="Book Antiqua"/>
      <family val="1"/>
    </font>
    <font>
      <b/>
      <i/>
      <sz val="12"/>
      <name val="Amasis MT Pro Black"/>
      <family val="1"/>
    </font>
    <font>
      <b/>
      <sz val="48"/>
      <name val="Comic Sans MS"/>
      <family val="4"/>
    </font>
    <font>
      <b/>
      <sz val="18"/>
      <color theme="0"/>
      <name val="Comic Sans MS"/>
      <family val="4"/>
    </font>
    <font>
      <b/>
      <sz val="14"/>
      <color theme="0"/>
      <name val="Comic Sans MS"/>
      <family val="4"/>
    </font>
    <font>
      <b/>
      <sz val="12"/>
      <color theme="0"/>
      <name val="Comic Sans MS"/>
      <family val="4"/>
    </font>
    <font>
      <sz val="11"/>
      <color theme="0"/>
      <name val="Comic Sans MS"/>
      <family val="4"/>
    </font>
    <font>
      <sz val="14"/>
      <color theme="0"/>
      <name val="Comic Sans MS"/>
      <family val="4"/>
    </font>
  </fonts>
  <fills count="37">
    <fill>
      <patternFill patternType="none"/>
    </fill>
    <fill>
      <patternFill patternType="gray125"/>
    </fill>
    <fill>
      <patternFill patternType="solid">
        <fgColor rgb="FFFF0000"/>
        <bgColor rgb="FFFFFFFF"/>
      </patternFill>
    </fill>
    <fill>
      <patternFill patternType="solid">
        <fgColor theme="0"/>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9" tint="-0.249977111117893"/>
        <bgColor indexed="64"/>
      </patternFill>
    </fill>
    <fill>
      <patternFill patternType="solid">
        <fgColor theme="3" tint="0.79998168889431442"/>
        <bgColor indexed="64"/>
      </patternFill>
    </fill>
    <fill>
      <patternFill patternType="solid">
        <fgColor theme="7" tint="0.39997558519241921"/>
        <bgColor indexed="64"/>
      </patternFill>
    </fill>
    <fill>
      <patternFill patternType="solid">
        <fgColor rgb="FFFF0000"/>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rgb="FFC6EFCE"/>
      </patternFill>
    </fill>
    <fill>
      <patternFill patternType="solid">
        <fgColor rgb="FFFFEB9C"/>
      </patternFill>
    </fill>
    <fill>
      <patternFill patternType="solid">
        <fgColor indexed="43"/>
        <bgColor indexed="64"/>
      </patternFill>
    </fill>
    <fill>
      <patternFill patternType="solid">
        <fgColor theme="8" tint="0.79998168889431442"/>
        <bgColor indexed="64"/>
      </patternFill>
    </fill>
    <fill>
      <patternFill patternType="solid">
        <fgColor rgb="FFF4F4DA"/>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1"/>
        <bgColor indexed="64"/>
      </patternFill>
    </fill>
    <fill>
      <patternFill patternType="solid">
        <fgColor theme="2"/>
        <bgColor indexed="64"/>
      </patternFill>
    </fill>
    <fill>
      <patternFill patternType="solid">
        <fgColor theme="0" tint="-0.249977111117893"/>
        <bgColor indexed="64"/>
      </patternFill>
    </fill>
    <fill>
      <patternFill patternType="solid">
        <fgColor theme="4" tint="0.79998168889431442"/>
        <bgColor theme="4" tint="0.79998168889431442"/>
      </patternFill>
    </fill>
    <fill>
      <patternFill patternType="solid">
        <fgColor theme="2"/>
        <bgColor theme="4" tint="0.79998168889431442"/>
      </patternFill>
    </fill>
    <fill>
      <patternFill patternType="solid">
        <fgColor rgb="FF002060"/>
        <bgColor indexed="64"/>
      </patternFill>
    </fill>
    <fill>
      <patternFill patternType="solid">
        <fgColor rgb="FF7030A0"/>
        <bgColor indexed="64"/>
      </patternFill>
    </fill>
    <fill>
      <patternFill patternType="solid">
        <fgColor rgb="FF00B050"/>
        <bgColor indexed="64"/>
      </patternFill>
    </fill>
  </fills>
  <borders count="107">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diagonal/>
    </border>
    <border>
      <left style="thin">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medium">
        <color indexed="64"/>
      </left>
      <right/>
      <top/>
      <bottom/>
      <diagonal/>
    </border>
    <border>
      <left/>
      <right style="medium">
        <color indexed="64"/>
      </right>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right style="thin">
        <color indexed="64"/>
      </right>
      <top/>
      <bottom/>
      <diagonal/>
    </border>
    <border>
      <left style="thick">
        <color indexed="64"/>
      </left>
      <right/>
      <top style="thick">
        <color indexed="64"/>
      </top>
      <bottom/>
      <diagonal/>
    </border>
    <border>
      <left/>
      <right/>
      <top style="thick">
        <color indexed="64"/>
      </top>
      <bottom/>
      <diagonal/>
    </border>
    <border>
      <left style="thick">
        <color rgb="FFFF0000"/>
      </left>
      <right/>
      <top style="thick">
        <color indexed="64"/>
      </top>
      <bottom style="thick">
        <color rgb="FFFF0000"/>
      </bottom>
      <diagonal/>
    </border>
    <border>
      <left/>
      <right/>
      <top style="thick">
        <color indexed="64"/>
      </top>
      <bottom style="thick">
        <color rgb="FFFF0000"/>
      </bottom>
      <diagonal/>
    </border>
    <border>
      <left/>
      <right style="thick">
        <color rgb="FFFF0000"/>
      </right>
      <top style="thick">
        <color indexed="64"/>
      </top>
      <bottom style="thick">
        <color rgb="FFFF0000"/>
      </bottom>
      <diagonal/>
    </border>
    <border>
      <left/>
      <right/>
      <top style="thick">
        <color indexed="64"/>
      </top>
      <bottom style="medium">
        <color indexed="64"/>
      </bottom>
      <diagonal/>
    </border>
    <border>
      <left/>
      <right style="thick">
        <color indexed="64"/>
      </right>
      <top style="thick">
        <color indexed="64"/>
      </top>
      <bottom style="thick">
        <color rgb="FFFF0000"/>
      </bottom>
      <diagonal/>
    </border>
    <border>
      <left style="thick">
        <color indexed="64"/>
      </left>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ck">
        <color rgb="FFFF0000"/>
      </top>
      <bottom style="medium">
        <color indexed="64"/>
      </bottom>
      <diagonal/>
    </border>
    <border>
      <left style="thin">
        <color indexed="64"/>
      </left>
      <right style="thick">
        <color indexed="64"/>
      </right>
      <top/>
      <bottom style="medium">
        <color indexed="64"/>
      </bottom>
      <diagonal/>
    </border>
    <border>
      <left/>
      <right style="thick">
        <color indexed="64"/>
      </right>
      <top/>
      <bottom/>
      <diagonal/>
    </border>
    <border>
      <left style="medium">
        <color indexed="64"/>
      </left>
      <right/>
      <top style="medium">
        <color indexed="64"/>
      </top>
      <bottom style="thin">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style="thin">
        <color indexed="64"/>
      </top>
      <bottom/>
      <diagonal/>
    </border>
    <border>
      <left style="thick">
        <color indexed="64"/>
      </left>
      <right/>
      <top/>
      <bottom style="thick">
        <color indexed="64"/>
      </bottom>
      <diagonal/>
    </border>
    <border>
      <left/>
      <right/>
      <top/>
      <bottom style="thick">
        <color indexed="64"/>
      </bottom>
      <diagonal/>
    </border>
    <border>
      <left style="medium">
        <color indexed="64"/>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thick">
        <color indexed="64"/>
      </right>
      <top/>
      <bottom style="thick">
        <color indexed="64"/>
      </bottom>
      <diagonal/>
    </border>
    <border>
      <left style="thick">
        <color theme="1"/>
      </left>
      <right/>
      <top style="thick">
        <color theme="1"/>
      </top>
      <bottom/>
      <diagonal/>
    </border>
    <border>
      <left/>
      <right/>
      <top style="thick">
        <color theme="1"/>
      </top>
      <bottom/>
      <diagonal/>
    </border>
    <border>
      <left style="thick">
        <color theme="1"/>
      </left>
      <right/>
      <top style="thick">
        <color theme="1"/>
      </top>
      <bottom style="thick">
        <color theme="1"/>
      </bottom>
      <diagonal/>
    </border>
    <border>
      <left/>
      <right/>
      <top style="thick">
        <color theme="1"/>
      </top>
      <bottom style="thick">
        <color theme="1"/>
      </bottom>
      <diagonal/>
    </border>
    <border>
      <left/>
      <right style="thick">
        <color theme="1"/>
      </right>
      <top style="thick">
        <color theme="1"/>
      </top>
      <bottom style="thick">
        <color theme="1"/>
      </bottom>
      <diagonal/>
    </border>
    <border>
      <left style="medium">
        <color indexed="64"/>
      </left>
      <right style="medium">
        <color indexed="64"/>
      </right>
      <top style="medium">
        <color indexed="64"/>
      </top>
      <bottom style="thin">
        <color indexed="64"/>
      </bottom>
      <diagonal/>
    </border>
    <border>
      <left style="thick">
        <color theme="1"/>
      </left>
      <right/>
      <top/>
      <bottom/>
      <diagonal/>
    </border>
    <border>
      <left style="thick">
        <color theme="1"/>
      </left>
      <right style="thick">
        <color theme="1"/>
      </right>
      <top style="thick">
        <color theme="1"/>
      </top>
      <bottom style="thick">
        <color theme="1"/>
      </bottom>
      <diagonal/>
    </border>
    <border>
      <left style="thick">
        <color theme="1"/>
      </left>
      <right/>
      <top style="medium">
        <color indexed="64"/>
      </top>
      <bottom style="medium">
        <color indexed="64"/>
      </bottom>
      <diagonal/>
    </border>
    <border>
      <left style="thick">
        <color theme="1"/>
      </left>
      <right/>
      <top style="thick">
        <color theme="1"/>
      </top>
      <bottom style="thin">
        <color indexed="64"/>
      </bottom>
      <diagonal/>
    </border>
    <border>
      <left style="thick">
        <color theme="1"/>
      </left>
      <right style="thick">
        <color theme="1"/>
      </right>
      <top style="thick">
        <color theme="1"/>
      </top>
      <bottom style="thin">
        <color indexed="64"/>
      </bottom>
      <diagonal/>
    </border>
    <border>
      <left style="thick">
        <color theme="1"/>
      </left>
      <right/>
      <top style="thin">
        <color indexed="64"/>
      </top>
      <bottom style="thin">
        <color indexed="64"/>
      </bottom>
      <diagonal/>
    </border>
    <border>
      <left style="thick">
        <color theme="1"/>
      </left>
      <right style="thick">
        <color theme="1"/>
      </right>
      <top style="thin">
        <color indexed="64"/>
      </top>
      <bottom style="thin">
        <color indexed="64"/>
      </bottom>
      <diagonal/>
    </border>
    <border>
      <left/>
      <right style="thick">
        <color theme="1"/>
      </right>
      <top/>
      <bottom/>
      <diagonal/>
    </border>
    <border>
      <left style="thick">
        <color theme="1"/>
      </left>
      <right/>
      <top style="medium">
        <color indexed="64"/>
      </top>
      <bottom style="thick">
        <color theme="1"/>
      </bottom>
      <diagonal/>
    </border>
    <border>
      <left style="thick">
        <color theme="1"/>
      </left>
      <right/>
      <top style="thin">
        <color indexed="64"/>
      </top>
      <bottom style="thick">
        <color theme="1"/>
      </bottom>
      <diagonal/>
    </border>
    <border>
      <left style="thick">
        <color theme="1"/>
      </left>
      <right style="thick">
        <color theme="1"/>
      </right>
      <top style="thin">
        <color indexed="64"/>
      </top>
      <bottom style="thick">
        <color theme="1"/>
      </bottom>
      <diagonal/>
    </border>
    <border>
      <left/>
      <right/>
      <top/>
      <bottom style="thick">
        <color theme="1"/>
      </bottom>
      <diagonal/>
    </border>
    <border>
      <left/>
      <right style="thick">
        <color theme="1"/>
      </right>
      <top/>
      <bottom style="thick">
        <color theme="1"/>
      </bottom>
      <diagonal/>
    </border>
    <border>
      <left style="medium">
        <color indexed="64"/>
      </left>
      <right style="medium">
        <color indexed="64"/>
      </right>
      <top style="medium">
        <color indexed="64"/>
      </top>
      <bottom style="thick">
        <color indexed="64"/>
      </bottom>
      <diagonal/>
    </border>
    <border>
      <left/>
      <right style="thick">
        <color indexed="64"/>
      </right>
      <top/>
      <bottom style="thick">
        <color indexed="64"/>
      </bottom>
      <diagonal/>
    </border>
    <border>
      <left style="thin">
        <color indexed="64"/>
      </left>
      <right style="thin">
        <color indexed="64"/>
      </right>
      <top/>
      <bottom/>
      <diagonal/>
    </border>
  </borders>
  <cellStyleXfs count="225">
    <xf numFmtId="0" fontId="0" fillId="0" borderId="0"/>
    <xf numFmtId="0" fontId="36" fillId="2" borderId="0">
      <alignment vertical="center"/>
    </xf>
    <xf numFmtId="43" fontId="9" fillId="0" borderId="0" applyFont="0" applyFill="0" applyBorder="0" applyAlignment="0" applyProtection="0"/>
    <xf numFmtId="43" fontId="9" fillId="0" borderId="0" applyFont="0" applyFill="0" applyBorder="0" applyAlignment="0" applyProtection="0"/>
    <xf numFmtId="43" fontId="27" fillId="0" borderId="0" applyFont="0" applyFill="0" applyBorder="0" applyAlignment="0" applyProtection="0"/>
    <xf numFmtId="43" fontId="9" fillId="0" borderId="0" applyFont="0" applyFill="0" applyBorder="0" applyAlignment="0" applyProtection="0"/>
    <xf numFmtId="43" fontId="28" fillId="0" borderId="0" applyFont="0" applyFill="0" applyBorder="0" applyAlignment="0" applyProtection="0"/>
    <xf numFmtId="44" fontId="5" fillId="0" borderId="0" applyFont="0" applyFill="0" applyBorder="0" applyAlignment="0" applyProtection="0"/>
    <xf numFmtId="44" fontId="9" fillId="0" borderId="0" applyFont="0" applyFill="0" applyBorder="0" applyAlignment="0" applyProtection="0"/>
    <xf numFmtId="44" fontId="27" fillId="0" borderId="0" applyFont="0" applyFill="0" applyBorder="0" applyAlignment="0" applyProtection="0"/>
    <xf numFmtId="44" fontId="27"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9" fillId="0" borderId="0" applyFont="0" applyFill="0" applyBorder="0" applyAlignment="0" applyProtection="0"/>
    <xf numFmtId="44" fontId="28" fillId="0" borderId="0" applyFont="0" applyFill="0" applyBorder="0" applyAlignment="0" applyProtection="0"/>
    <xf numFmtId="0" fontId="11" fillId="0" borderId="0" applyNumberFormat="0" applyFill="0" applyBorder="0" applyAlignment="0" applyProtection="0">
      <alignment vertical="top"/>
      <protection locked="0"/>
    </xf>
    <xf numFmtId="0" fontId="37" fillId="0" borderId="0" applyNumberFormat="0" applyFill="0" applyBorder="0" applyAlignment="0" applyProtection="0">
      <alignment vertical="top"/>
      <protection locked="0"/>
    </xf>
    <xf numFmtId="0" fontId="9" fillId="0" borderId="0"/>
    <xf numFmtId="0" fontId="9" fillId="0" borderId="0"/>
    <xf numFmtId="0" fontId="9" fillId="0" borderId="0"/>
    <xf numFmtId="0" fontId="9" fillId="0" borderId="0"/>
    <xf numFmtId="0" fontId="9" fillId="0" borderId="0"/>
    <xf numFmtId="0" fontId="9" fillId="0" borderId="0"/>
    <xf numFmtId="170" fontId="35" fillId="0" borderId="0"/>
    <xf numFmtId="0" fontId="9" fillId="0" borderId="0"/>
    <xf numFmtId="0" fontId="9" fillId="0" borderId="0"/>
    <xf numFmtId="0" fontId="9" fillId="0" borderId="0">
      <alignment wrapText="1"/>
    </xf>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26" fillId="0" borderId="0"/>
    <xf numFmtId="0" fontId="35" fillId="0" borderId="0"/>
    <xf numFmtId="0" fontId="9" fillId="0" borderId="0"/>
    <xf numFmtId="0" fontId="35" fillId="0" borderId="0"/>
    <xf numFmtId="0" fontId="9" fillId="0" borderId="0"/>
    <xf numFmtId="0" fontId="9" fillId="0" borderId="0"/>
    <xf numFmtId="0" fontId="9" fillId="0" borderId="0"/>
    <xf numFmtId="0" fontId="9" fillId="0" borderId="0"/>
    <xf numFmtId="0" fontId="9" fillId="0" borderId="0"/>
    <xf numFmtId="0" fontId="9" fillId="0" borderId="0"/>
    <xf numFmtId="0" fontId="29" fillId="0" borderId="0"/>
    <xf numFmtId="0" fontId="29" fillId="0" borderId="0"/>
    <xf numFmtId="0" fontId="29" fillId="0" borderId="0"/>
    <xf numFmtId="0" fontId="29" fillId="0" borderId="0"/>
    <xf numFmtId="0" fontId="30" fillId="0" borderId="0"/>
    <xf numFmtId="0" fontId="29" fillId="0" borderId="0"/>
    <xf numFmtId="0" fontId="29" fillId="0" borderId="0"/>
    <xf numFmtId="0" fontId="29" fillId="0" borderId="0"/>
    <xf numFmtId="0" fontId="9" fillId="0" borderId="0"/>
    <xf numFmtId="0" fontId="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9" fillId="0" borderId="0"/>
    <xf numFmtId="0" fontId="29" fillId="0" borderId="0"/>
    <xf numFmtId="0" fontId="29" fillId="0" borderId="0"/>
    <xf numFmtId="0" fontId="29" fillId="0" borderId="0"/>
    <xf numFmtId="0" fontId="29" fillId="0" borderId="0"/>
    <xf numFmtId="0" fontId="26" fillId="0" borderId="0"/>
    <xf numFmtId="0" fontId="34"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9" fontId="5"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27" fillId="0" borderId="0" applyFont="0" applyFill="0" applyBorder="0" applyAlignment="0" applyProtection="0"/>
    <xf numFmtId="9" fontId="9" fillId="0" borderId="0" applyFont="0" applyFill="0" applyBorder="0" applyAlignment="0" applyProtection="0"/>
    <xf numFmtId="9" fontId="28" fillId="0" borderId="0" applyFont="0" applyFill="0" applyBorder="0" applyAlignment="0" applyProtection="0"/>
    <xf numFmtId="9" fontId="35" fillId="0" borderId="0" applyFont="0" applyFill="0" applyBorder="0" applyAlignment="0" applyProtection="0"/>
    <xf numFmtId="0" fontId="26" fillId="0" borderId="0"/>
    <xf numFmtId="165" fontId="5" fillId="0" borderId="0"/>
    <xf numFmtId="43"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173" fontId="49" fillId="0" borderId="0" applyBorder="0" applyProtection="0"/>
    <xf numFmtId="9" fontId="5" fillId="0" borderId="0" applyFont="0" applyFill="0" applyBorder="0" applyAlignment="0" applyProtection="0"/>
    <xf numFmtId="165" fontId="48" fillId="22" borderId="0" applyNumberFormat="0" applyBorder="0" applyAlignment="0" applyProtection="0"/>
    <xf numFmtId="165" fontId="50" fillId="23" borderId="0" applyNumberFormat="0" applyBorder="0" applyAlignment="0" applyProtection="0"/>
    <xf numFmtId="165" fontId="30" fillId="0" borderId="0"/>
    <xf numFmtId="44" fontId="5" fillId="0" borderId="0" applyFont="0" applyFill="0" applyBorder="0" applyAlignment="0" applyProtection="0"/>
    <xf numFmtId="43" fontId="5" fillId="0" borderId="0" applyFont="0" applyFill="0" applyBorder="0" applyAlignment="0" applyProtection="0"/>
    <xf numFmtId="165" fontId="5" fillId="0" borderId="0"/>
    <xf numFmtId="165" fontId="26" fillId="0" borderId="0"/>
    <xf numFmtId="0" fontId="26" fillId="0" borderId="0"/>
    <xf numFmtId="0" fontId="5" fillId="0" borderId="0"/>
    <xf numFmtId="43" fontId="5" fillId="0" borderId="0" applyFont="0" applyFill="0" applyBorder="0" applyAlignment="0" applyProtection="0"/>
    <xf numFmtId="44" fontId="5"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alignment wrapText="1"/>
    </xf>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26" fillId="0" borderId="0"/>
    <xf numFmtId="0" fontId="26" fillId="0" borderId="0"/>
    <xf numFmtId="0" fontId="26" fillId="0" borderId="0"/>
    <xf numFmtId="0" fontId="26"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9"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170" fontId="3" fillId="0" borderId="0"/>
    <xf numFmtId="0" fontId="3" fillId="0" borderId="0"/>
    <xf numFmtId="0" fontId="3"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5" fillId="0" borderId="0"/>
    <xf numFmtId="0" fontId="26" fillId="0" borderId="0"/>
    <xf numFmtId="0" fontId="26" fillId="0" borderId="0"/>
    <xf numFmtId="0" fontId="26" fillId="0" borderId="0"/>
    <xf numFmtId="0" fontId="26" fillId="0" borderId="0"/>
    <xf numFmtId="0" fontId="26" fillId="0" borderId="0"/>
    <xf numFmtId="9" fontId="5" fillId="0" borderId="0" applyFont="0" applyFill="0" applyBorder="0" applyAlignment="0" applyProtection="0"/>
    <xf numFmtId="9" fontId="5" fillId="0" borderId="0" applyFont="0" applyFill="0" applyBorder="0" applyAlignment="0" applyProtection="0"/>
    <xf numFmtId="9" fontId="3"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170" fontId="3" fillId="0" borderId="0"/>
    <xf numFmtId="0" fontId="3" fillId="0" borderId="0"/>
    <xf numFmtId="0" fontId="3" fillId="0" borderId="0"/>
    <xf numFmtId="0" fontId="26" fillId="0" borderId="0"/>
    <xf numFmtId="0" fontId="26" fillId="0" borderId="0"/>
    <xf numFmtId="0" fontId="26" fillId="0" borderId="0"/>
    <xf numFmtId="0" fontId="5"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5" fillId="0" borderId="0"/>
    <xf numFmtId="0" fontId="26" fillId="0" borderId="0"/>
    <xf numFmtId="0" fontId="26" fillId="0" borderId="0"/>
    <xf numFmtId="0" fontId="26" fillId="0" borderId="0"/>
    <xf numFmtId="0" fontId="26" fillId="0" borderId="0"/>
    <xf numFmtId="0" fontId="26" fillId="0" borderId="0"/>
    <xf numFmtId="0" fontId="5" fillId="0" borderId="0"/>
    <xf numFmtId="9" fontId="5" fillId="0" borderId="0" applyFont="0" applyFill="0" applyBorder="0" applyAlignment="0" applyProtection="0"/>
    <xf numFmtId="9" fontId="5" fillId="0" borderId="0" applyFont="0" applyFill="0" applyBorder="0" applyAlignment="0" applyProtection="0"/>
    <xf numFmtId="9" fontId="3" fillId="0" borderId="0" applyFont="0" applyFill="0" applyBorder="0" applyAlignment="0" applyProtection="0"/>
    <xf numFmtId="0" fontId="2" fillId="0" borderId="0"/>
    <xf numFmtId="43" fontId="2" fillId="0" borderId="0" applyFont="0" applyFill="0" applyBorder="0" applyAlignment="0" applyProtection="0"/>
    <xf numFmtId="170" fontId="1" fillId="0" borderId="0"/>
    <xf numFmtId="0" fontId="1" fillId="0" borderId="0"/>
    <xf numFmtId="0" fontId="1" fillId="0" borderId="0"/>
    <xf numFmtId="9" fontId="1" fillId="0" borderId="0" applyFont="0" applyFill="0" applyBorder="0" applyAlignment="0" applyProtection="0"/>
    <xf numFmtId="0" fontId="1" fillId="0" borderId="0"/>
    <xf numFmtId="170" fontId="1" fillId="0" borderId="0"/>
    <xf numFmtId="0" fontId="1" fillId="0" borderId="0"/>
    <xf numFmtId="0" fontId="1" fillId="0" borderId="0"/>
    <xf numFmtId="9" fontId="1" fillId="0" borderId="0" applyFont="0" applyFill="0" applyBorder="0" applyAlignment="0" applyProtection="0"/>
    <xf numFmtId="170" fontId="1" fillId="0" borderId="0"/>
    <xf numFmtId="0" fontId="1" fillId="0" borderId="0"/>
    <xf numFmtId="0" fontId="1" fillId="0" borderId="0"/>
    <xf numFmtId="9" fontId="1" fillId="0" borderId="0" applyFont="0" applyFill="0" applyBorder="0" applyAlignment="0" applyProtection="0"/>
    <xf numFmtId="0" fontId="119" fillId="0" borderId="0"/>
  </cellStyleXfs>
  <cellXfs count="647">
    <xf numFmtId="0" fontId="0" fillId="0" borderId="0" xfId="0"/>
    <xf numFmtId="165" fontId="8" fillId="3" borderId="1" xfId="0" applyNumberFormat="1" applyFont="1" applyFill="1" applyBorder="1" applyAlignment="1" applyProtection="1">
      <alignment vertical="center"/>
      <protection locked="0"/>
    </xf>
    <xf numFmtId="0" fontId="54" fillId="19" borderId="1" xfId="0" applyFont="1" applyFill="1" applyBorder="1" applyAlignment="1" applyProtection="1">
      <alignment horizontal="center" vertical="center"/>
      <protection locked="0"/>
    </xf>
    <xf numFmtId="0" fontId="54" fillId="19" borderId="21" xfId="0" applyFont="1" applyFill="1" applyBorder="1" applyAlignment="1" applyProtection="1">
      <alignment horizontal="center" vertical="center"/>
      <protection locked="0"/>
    </xf>
    <xf numFmtId="165" fontId="5" fillId="3" borderId="1" xfId="0" applyNumberFormat="1" applyFont="1" applyFill="1" applyBorder="1" applyAlignment="1" applyProtection="1">
      <alignment horizontal="center" vertical="center"/>
      <protection locked="0"/>
    </xf>
    <xf numFmtId="166" fontId="41" fillId="0" borderId="6" xfId="0" applyNumberFormat="1" applyFont="1" applyBorder="1" applyAlignment="1" applyProtection="1">
      <alignment horizontal="center"/>
      <protection locked="0"/>
    </xf>
    <xf numFmtId="0" fontId="7" fillId="0" borderId="1" xfId="0" applyFont="1" applyBorder="1" applyAlignment="1" applyProtection="1">
      <alignment horizontal="center" vertical="center"/>
      <protection locked="0"/>
    </xf>
    <xf numFmtId="0" fontId="7" fillId="0" borderId="32" xfId="0" applyFont="1" applyBorder="1" applyAlignment="1" applyProtection="1">
      <alignment horizontal="center" vertical="center"/>
      <protection locked="0"/>
    </xf>
    <xf numFmtId="44" fontId="6" fillId="0" borderId="0" xfId="7" applyFont="1" applyBorder="1" applyAlignment="1" applyProtection="1">
      <alignment vertical="center"/>
    </xf>
    <xf numFmtId="44" fontId="7" fillId="19" borderId="18" xfId="7" applyFont="1" applyFill="1" applyBorder="1" applyAlignment="1" applyProtection="1">
      <alignment vertical="center"/>
    </xf>
    <xf numFmtId="0" fontId="6" fillId="0" borderId="0" xfId="0" applyFont="1" applyAlignment="1">
      <alignment vertical="center"/>
    </xf>
    <xf numFmtId="0" fontId="9" fillId="0" borderId="0" xfId="0" applyFont="1" applyAlignment="1">
      <alignment vertical="center"/>
    </xf>
    <xf numFmtId="44" fontId="7" fillId="19" borderId="21" xfId="7" applyFont="1" applyFill="1" applyBorder="1" applyAlignment="1" applyProtection="1">
      <alignment vertical="center"/>
    </xf>
    <xf numFmtId="44" fontId="7" fillId="19" borderId="24" xfId="7" applyFont="1" applyFill="1" applyBorder="1" applyAlignment="1" applyProtection="1">
      <alignment vertical="center"/>
    </xf>
    <xf numFmtId="44" fontId="7" fillId="0" borderId="0" xfId="7" applyFont="1" applyBorder="1" applyAlignment="1" applyProtection="1">
      <alignment vertical="center"/>
    </xf>
    <xf numFmtId="44" fontId="7" fillId="0" borderId="0" xfId="7" applyFont="1" applyFill="1" applyBorder="1" applyAlignment="1" applyProtection="1">
      <alignment vertical="center"/>
    </xf>
    <xf numFmtId="44" fontId="12" fillId="0" borderId="0" xfId="7" applyFont="1" applyFill="1" applyBorder="1" applyAlignment="1" applyProtection="1">
      <alignment vertical="center"/>
    </xf>
    <xf numFmtId="0" fontId="43" fillId="0" borderId="0" xfId="0" applyFont="1" applyAlignment="1">
      <alignment vertical="center"/>
    </xf>
    <xf numFmtId="0" fontId="45" fillId="15" borderId="0" xfId="0" applyFont="1" applyFill="1" applyAlignment="1">
      <alignment vertical="center"/>
    </xf>
    <xf numFmtId="0" fontId="24" fillId="5" borderId="22" xfId="0" applyFont="1" applyFill="1" applyBorder="1" applyAlignment="1">
      <alignment vertical="center"/>
    </xf>
    <xf numFmtId="166" fontId="41" fillId="0" borderId="6" xfId="0" applyNumberFormat="1" applyFont="1" applyBorder="1" applyAlignment="1">
      <alignment horizontal="center"/>
    </xf>
    <xf numFmtId="0" fontId="45" fillId="15" borderId="0" xfId="141" applyFont="1" applyFill="1" applyAlignment="1">
      <alignment vertical="center"/>
    </xf>
    <xf numFmtId="0" fontId="45" fillId="16" borderId="0" xfId="141" applyFont="1" applyFill="1" applyAlignment="1">
      <alignment vertical="center"/>
    </xf>
    <xf numFmtId="0" fontId="8" fillId="0" borderId="32" xfId="0" applyFont="1" applyBorder="1" applyProtection="1">
      <protection locked="0"/>
    </xf>
    <xf numFmtId="0" fontId="7" fillId="0" borderId="32" xfId="0" applyFont="1" applyBorder="1" applyAlignment="1" applyProtection="1">
      <alignment horizontal="center"/>
      <protection locked="0"/>
    </xf>
    <xf numFmtId="0" fontId="8" fillId="0" borderId="1" xfId="0" applyFont="1" applyBorder="1" applyAlignment="1" applyProtection="1">
      <alignment horizontal="center"/>
      <protection locked="0"/>
    </xf>
    <xf numFmtId="0" fontId="8" fillId="0" borderId="1" xfId="0" applyFont="1" applyBorder="1" applyProtection="1">
      <protection locked="0"/>
    </xf>
    <xf numFmtId="0" fontId="7" fillId="0" borderId="1" xfId="0" applyFont="1" applyBorder="1" applyAlignment="1" applyProtection="1">
      <alignment horizontal="center"/>
      <protection locked="0"/>
    </xf>
    <xf numFmtId="0" fontId="8" fillId="0" borderId="33" xfId="0" applyFont="1" applyBorder="1" applyProtection="1">
      <protection locked="0"/>
    </xf>
    <xf numFmtId="0" fontId="7" fillId="0" borderId="33" xfId="0" applyFont="1" applyBorder="1" applyAlignment="1" applyProtection="1">
      <alignment horizontal="center"/>
      <protection locked="0"/>
    </xf>
    <xf numFmtId="44" fontId="8" fillId="24" borderId="32" xfId="7" applyFont="1" applyFill="1" applyBorder="1" applyProtection="1">
      <protection locked="0"/>
    </xf>
    <xf numFmtId="44" fontId="8" fillId="24" borderId="1" xfId="7" applyFont="1" applyFill="1" applyBorder="1" applyProtection="1">
      <protection locked="0"/>
    </xf>
    <xf numFmtId="44" fontId="8" fillId="24" borderId="33" xfId="7" applyFont="1" applyFill="1" applyBorder="1" applyProtection="1">
      <protection locked="0"/>
    </xf>
    <xf numFmtId="0" fontId="8" fillId="0" borderId="32" xfId="0" applyFont="1" applyBorder="1" applyAlignment="1" applyProtection="1">
      <alignment horizontal="left"/>
      <protection locked="0"/>
    </xf>
    <xf numFmtId="44" fontId="8" fillId="24" borderId="32" xfId="7" applyFont="1" applyFill="1" applyBorder="1" applyAlignment="1" applyProtection="1">
      <alignment horizontal="left"/>
      <protection locked="0"/>
    </xf>
    <xf numFmtId="0" fontId="8" fillId="0" borderId="1" xfId="0" applyFont="1" applyBorder="1" applyAlignment="1" applyProtection="1">
      <alignment horizontal="left"/>
      <protection locked="0"/>
    </xf>
    <xf numFmtId="44" fontId="8" fillId="24" borderId="1" xfId="7" applyFont="1" applyFill="1" applyBorder="1" applyAlignment="1" applyProtection="1">
      <alignment horizontal="left"/>
      <protection locked="0"/>
    </xf>
    <xf numFmtId="0" fontId="5" fillId="0" borderId="1" xfId="0" applyFont="1" applyBorder="1" applyAlignment="1" applyProtection="1">
      <alignment horizontal="left"/>
      <protection locked="0"/>
    </xf>
    <xf numFmtId="0" fontId="5" fillId="0" borderId="33" xfId="0" applyFont="1" applyBorder="1" applyAlignment="1" applyProtection="1">
      <alignment horizontal="left"/>
      <protection locked="0"/>
    </xf>
    <xf numFmtId="0" fontId="0" fillId="3" borderId="18" xfId="0" applyFill="1" applyBorder="1" applyAlignment="1" applyProtection="1">
      <alignment horizontal="center" vertical="center"/>
      <protection locked="0"/>
    </xf>
    <xf numFmtId="0" fontId="0" fillId="3" borderId="21" xfId="0" applyFill="1" applyBorder="1" applyAlignment="1" applyProtection="1">
      <alignment horizontal="center" vertical="center"/>
      <protection locked="0"/>
    </xf>
    <xf numFmtId="0" fontId="0" fillId="3" borderId="24" xfId="0" applyFill="1" applyBorder="1" applyAlignment="1" applyProtection="1">
      <alignment horizontal="center" vertical="center"/>
      <protection locked="0"/>
    </xf>
    <xf numFmtId="0" fontId="61" fillId="3" borderId="21" xfId="0" applyFont="1" applyFill="1" applyBorder="1" applyAlignment="1" applyProtection="1">
      <alignment horizontal="center" vertical="center"/>
      <protection locked="0"/>
    </xf>
    <xf numFmtId="0" fontId="61" fillId="3" borderId="18" xfId="0" applyFont="1" applyFill="1" applyBorder="1" applyAlignment="1" applyProtection="1">
      <alignment horizontal="center" vertical="center"/>
      <protection locked="0"/>
    </xf>
    <xf numFmtId="0" fontId="61" fillId="3" borderId="24" xfId="0" applyFont="1" applyFill="1" applyBorder="1" applyAlignment="1" applyProtection="1">
      <alignment horizontal="center" vertical="center"/>
      <protection locked="0"/>
    </xf>
    <xf numFmtId="0" fontId="0" fillId="3" borderId="41" xfId="0" applyFill="1" applyBorder="1" applyAlignment="1" applyProtection="1">
      <alignment horizontal="center" vertical="center"/>
      <protection locked="0"/>
    </xf>
    <xf numFmtId="0" fontId="5" fillId="0" borderId="19" xfId="0" applyFont="1" applyBorder="1" applyProtection="1">
      <protection locked="0"/>
    </xf>
    <xf numFmtId="0" fontId="5" fillId="0" borderId="23" xfId="0" applyFont="1" applyBorder="1" applyProtection="1">
      <protection locked="0"/>
    </xf>
    <xf numFmtId="0" fontId="5" fillId="0" borderId="32" xfId="0" applyFont="1" applyBorder="1" applyAlignment="1" applyProtection="1">
      <alignment horizontal="left"/>
      <protection locked="0"/>
    </xf>
    <xf numFmtId="0" fontId="5" fillId="0" borderId="1" xfId="0" applyFont="1" applyBorder="1" applyAlignment="1" applyProtection="1">
      <alignment horizontal="left" wrapText="1"/>
      <protection locked="0"/>
    </xf>
    <xf numFmtId="0" fontId="5" fillId="0" borderId="39" xfId="0" applyFont="1" applyBorder="1" applyAlignment="1" applyProtection="1">
      <alignment horizontal="left"/>
      <protection locked="0"/>
    </xf>
    <xf numFmtId="0" fontId="8" fillId="0" borderId="39" xfId="0" applyFont="1" applyBorder="1" applyProtection="1">
      <protection locked="0"/>
    </xf>
    <xf numFmtId="0" fontId="7" fillId="0" borderId="39" xfId="0" applyFont="1" applyBorder="1" applyAlignment="1" applyProtection="1">
      <alignment horizontal="center"/>
      <protection locked="0"/>
    </xf>
    <xf numFmtId="44" fontId="8" fillId="24" borderId="39" xfId="7" applyFont="1" applyFill="1" applyBorder="1" applyProtection="1">
      <protection locked="0"/>
    </xf>
    <xf numFmtId="44" fontId="7" fillId="27" borderId="18" xfId="7" applyFont="1" applyFill="1" applyBorder="1" applyAlignment="1" applyProtection="1">
      <alignment vertical="center"/>
    </xf>
    <xf numFmtId="44" fontId="7" fillId="27" borderId="21" xfId="7" applyFont="1" applyFill="1" applyBorder="1" applyAlignment="1" applyProtection="1">
      <alignment vertical="center"/>
    </xf>
    <xf numFmtId="0" fontId="0" fillId="0" borderId="0" xfId="0" applyAlignment="1">
      <alignment horizontal="center" vertical="center"/>
    </xf>
    <xf numFmtId="165" fontId="52" fillId="18" borderId="6" xfId="0" applyNumberFormat="1" applyFont="1" applyFill="1" applyBorder="1" applyAlignment="1">
      <alignment horizontal="center" vertical="center" wrapText="1"/>
    </xf>
    <xf numFmtId="165" fontId="8" fillId="3" borderId="1" xfId="0" applyNumberFormat="1" applyFont="1" applyFill="1" applyBorder="1" applyAlignment="1">
      <alignment vertical="center"/>
    </xf>
    <xf numFmtId="165" fontId="7" fillId="0" borderId="15" xfId="0" applyNumberFormat="1" applyFont="1" applyBorder="1" applyAlignment="1">
      <alignment horizontal="center" vertical="center"/>
    </xf>
    <xf numFmtId="44" fontId="7" fillId="20" borderId="1" xfId="0" applyNumberFormat="1" applyFont="1" applyFill="1" applyBorder="1" applyAlignment="1">
      <alignment horizontal="center" vertical="center"/>
    </xf>
    <xf numFmtId="165" fontId="62" fillId="3" borderId="1" xfId="0" applyNumberFormat="1" applyFont="1" applyFill="1" applyBorder="1" applyAlignment="1">
      <alignment vertical="center"/>
    </xf>
    <xf numFmtId="0" fontId="51" fillId="19" borderId="1" xfId="0" applyFont="1" applyFill="1" applyBorder="1" applyAlignment="1">
      <alignment horizontal="center" vertical="center"/>
    </xf>
    <xf numFmtId="165" fontId="8" fillId="3" borderId="1" xfId="0" applyNumberFormat="1" applyFont="1" applyFill="1" applyBorder="1" applyAlignment="1">
      <alignment horizontal="left" vertical="center"/>
    </xf>
    <xf numFmtId="165" fontId="62" fillId="0" borderId="1" xfId="0" applyNumberFormat="1" applyFont="1" applyBorder="1" applyAlignment="1">
      <alignment vertical="center"/>
    </xf>
    <xf numFmtId="0" fontId="57" fillId="19" borderId="1" xfId="0" applyFont="1" applyFill="1" applyBorder="1" applyAlignment="1">
      <alignment horizontal="center" vertical="center"/>
    </xf>
    <xf numFmtId="165" fontId="8" fillId="3" borderId="19" xfId="0" applyNumberFormat="1" applyFont="1" applyFill="1" applyBorder="1" applyAlignment="1">
      <alignment vertical="center"/>
    </xf>
    <xf numFmtId="0" fontId="54" fillId="0" borderId="0" xfId="0" applyFont="1"/>
    <xf numFmtId="0" fontId="0" fillId="0" borderId="0" xfId="0" applyAlignment="1">
      <alignment vertical="center"/>
    </xf>
    <xf numFmtId="44" fontId="7" fillId="19" borderId="5" xfId="7" applyFont="1" applyFill="1" applyBorder="1" applyAlignment="1" applyProtection="1">
      <alignment vertical="center"/>
    </xf>
    <xf numFmtId="0" fontId="33" fillId="11" borderId="11" xfId="0" applyFont="1" applyFill="1" applyBorder="1" applyAlignment="1" applyProtection="1">
      <alignment horizontal="right" vertical="center"/>
      <protection locked="0"/>
    </xf>
    <xf numFmtId="1" fontId="16" fillId="7" borderId="1" xfId="0" applyNumberFormat="1" applyFont="1" applyFill="1" applyBorder="1" applyAlignment="1" applyProtection="1">
      <alignment horizontal="center" vertical="center"/>
      <protection locked="0"/>
    </xf>
    <xf numFmtId="44" fontId="16" fillId="3" borderId="1" xfId="0" applyNumberFormat="1" applyFont="1" applyFill="1" applyBorder="1" applyAlignment="1" applyProtection="1">
      <alignment horizontal="center" vertical="center"/>
      <protection locked="0"/>
    </xf>
    <xf numFmtId="44" fontId="16" fillId="0" borderId="1" xfId="0" applyNumberFormat="1" applyFont="1" applyBorder="1" applyAlignment="1" applyProtection="1">
      <alignment horizontal="center" vertical="center"/>
      <protection locked="0"/>
    </xf>
    <xf numFmtId="44" fontId="16" fillId="6" borderId="1" xfId="0" applyNumberFormat="1" applyFont="1" applyFill="1" applyBorder="1" applyAlignment="1" applyProtection="1">
      <alignment horizontal="center" vertical="center"/>
      <protection locked="0"/>
    </xf>
    <xf numFmtId="44" fontId="16" fillId="10" borderId="1" xfId="0" applyNumberFormat="1" applyFont="1" applyFill="1" applyBorder="1" applyAlignment="1" applyProtection="1">
      <alignment horizontal="center" vertical="center"/>
      <protection locked="0"/>
    </xf>
    <xf numFmtId="44" fontId="16" fillId="9" borderId="1" xfId="0" applyNumberFormat="1" applyFont="1" applyFill="1" applyBorder="1" applyAlignment="1" applyProtection="1">
      <alignment horizontal="center" vertical="center"/>
      <protection locked="0"/>
    </xf>
    <xf numFmtId="0" fontId="33" fillId="11" borderId="8" xfId="0" applyFont="1" applyFill="1" applyBorder="1" applyAlignment="1" applyProtection="1">
      <alignment horizontal="right" vertical="center"/>
      <protection locked="0"/>
    </xf>
    <xf numFmtId="44" fontId="16" fillId="7" borderId="1" xfId="0" applyNumberFormat="1" applyFont="1" applyFill="1" applyBorder="1" applyAlignment="1" applyProtection="1">
      <alignment horizontal="center" vertical="center"/>
      <protection locked="0"/>
    </xf>
    <xf numFmtId="8" fontId="32" fillId="11" borderId="1" xfId="0" applyNumberFormat="1" applyFont="1" applyFill="1" applyBorder="1" applyAlignment="1" applyProtection="1">
      <alignment horizontal="center" vertical="center"/>
      <protection locked="0"/>
    </xf>
    <xf numFmtId="16" fontId="6" fillId="6" borderId="3" xfId="0" applyNumberFormat="1" applyFont="1" applyFill="1" applyBorder="1" applyAlignment="1">
      <alignment horizontal="center" vertical="center"/>
    </xf>
    <xf numFmtId="16" fontId="6" fillId="5" borderId="22" xfId="0" applyNumberFormat="1" applyFont="1" applyFill="1" applyBorder="1" applyAlignment="1">
      <alignment horizontal="center" vertical="center"/>
    </xf>
    <xf numFmtId="167" fontId="15" fillId="0" borderId="37" xfId="0" applyNumberFormat="1" applyFont="1" applyBorder="1" applyAlignment="1">
      <alignment horizontal="center" vertical="center"/>
    </xf>
    <xf numFmtId="0" fontId="47" fillId="4" borderId="36" xfId="0" applyFont="1" applyFill="1" applyBorder="1" applyAlignment="1">
      <alignment horizontal="center" vertical="center"/>
    </xf>
    <xf numFmtId="166" fontId="41" fillId="0" borderId="13" xfId="0" applyNumberFormat="1" applyFont="1" applyBorder="1" applyAlignment="1">
      <alignment horizontal="center"/>
    </xf>
    <xf numFmtId="0" fontId="25" fillId="0" borderId="49" xfId="0" applyFont="1" applyBorder="1" applyAlignment="1">
      <alignment horizontal="center" vertical="center" wrapText="1"/>
    </xf>
    <xf numFmtId="166" fontId="41" fillId="0" borderId="52" xfId="0" applyNumberFormat="1" applyFont="1" applyBorder="1" applyAlignment="1">
      <alignment horizontal="right"/>
    </xf>
    <xf numFmtId="166" fontId="41" fillId="0" borderId="15" xfId="0" applyNumberFormat="1" applyFont="1" applyBorder="1" applyAlignment="1">
      <alignment horizontal="center"/>
    </xf>
    <xf numFmtId="0" fontId="6" fillId="26" borderId="50" xfId="0" applyFont="1" applyFill="1" applyBorder="1" applyAlignment="1" applyProtection="1">
      <alignment vertical="center"/>
      <protection locked="0"/>
    </xf>
    <xf numFmtId="0" fontId="6" fillId="26" borderId="51" xfId="0" applyFont="1" applyFill="1" applyBorder="1" applyAlignment="1" applyProtection="1">
      <alignment vertical="center"/>
      <protection locked="0"/>
    </xf>
    <xf numFmtId="0" fontId="6" fillId="0" borderId="51" xfId="0" applyFont="1" applyBorder="1" applyAlignment="1" applyProtection="1">
      <alignment vertical="center"/>
      <protection locked="0"/>
    </xf>
    <xf numFmtId="0" fontId="39" fillId="0" borderId="52" xfId="0" applyFont="1" applyBorder="1" applyAlignment="1">
      <alignment vertical="center"/>
    </xf>
    <xf numFmtId="0" fontId="5" fillId="5" borderId="53" xfId="0" applyFont="1" applyFill="1" applyBorder="1" applyAlignment="1">
      <alignment vertical="center"/>
    </xf>
    <xf numFmtId="16" fontId="6" fillId="6" borderId="54" xfId="0" applyNumberFormat="1" applyFont="1" applyFill="1" applyBorder="1" applyAlignment="1">
      <alignment horizontal="center" vertical="center"/>
    </xf>
    <xf numFmtId="16" fontId="6" fillId="6" borderId="17" xfId="0" applyNumberFormat="1" applyFont="1" applyFill="1" applyBorder="1" applyAlignment="1">
      <alignment horizontal="center" vertical="center"/>
    </xf>
    <xf numFmtId="16" fontId="6" fillId="6" borderId="32" xfId="0" applyNumberFormat="1" applyFont="1" applyFill="1" applyBorder="1" applyAlignment="1">
      <alignment horizontal="center" vertical="center"/>
    </xf>
    <xf numFmtId="16" fontId="6" fillId="6" borderId="18" xfId="0" applyNumberFormat="1" applyFont="1" applyFill="1" applyBorder="1" applyAlignment="1">
      <alignment horizontal="center" vertical="center"/>
    </xf>
    <xf numFmtId="16" fontId="6" fillId="6" borderId="55" xfId="0" applyNumberFormat="1" applyFont="1" applyFill="1" applyBorder="1" applyAlignment="1">
      <alignment horizontal="center" vertical="center"/>
    </xf>
    <xf numFmtId="166" fontId="41" fillId="0" borderId="15" xfId="0" applyNumberFormat="1" applyFont="1" applyBorder="1" applyAlignment="1" applyProtection="1">
      <alignment horizontal="center"/>
      <protection locked="0"/>
    </xf>
    <xf numFmtId="0" fontId="6" fillId="0" borderId="50" xfId="0" applyFont="1" applyBorder="1" applyAlignment="1">
      <alignment vertical="center"/>
    </xf>
    <xf numFmtId="0" fontId="6" fillId="0" borderId="51" xfId="0" applyFont="1" applyBorder="1" applyAlignment="1">
      <alignment vertical="center"/>
    </xf>
    <xf numFmtId="16" fontId="6" fillId="6" borderId="35" xfId="0" applyNumberFormat="1" applyFont="1" applyFill="1" applyBorder="1" applyAlignment="1">
      <alignment horizontal="center" vertical="center"/>
    </xf>
    <xf numFmtId="166" fontId="41" fillId="0" borderId="13" xfId="0" applyNumberFormat="1" applyFont="1" applyBorder="1" applyAlignment="1" applyProtection="1">
      <alignment horizontal="center"/>
      <protection locked="0"/>
    </xf>
    <xf numFmtId="166" fontId="41" fillId="0" borderId="56" xfId="0" applyNumberFormat="1" applyFont="1" applyBorder="1" applyAlignment="1">
      <alignment horizontal="center"/>
    </xf>
    <xf numFmtId="165" fontId="52" fillId="18" borderId="1" xfId="0" applyNumberFormat="1" applyFont="1" applyFill="1" applyBorder="1" applyAlignment="1">
      <alignment horizontal="center" vertical="center" wrapText="1"/>
    </xf>
    <xf numFmtId="165" fontId="22" fillId="0" borderId="12" xfId="0" applyNumberFormat="1" applyFont="1" applyBorder="1" applyAlignment="1">
      <alignment vertical="center" wrapText="1"/>
    </xf>
    <xf numFmtId="10" fontId="58" fillId="0" borderId="37" xfId="83" applyNumberFormat="1" applyFont="1" applyBorder="1" applyAlignment="1" applyProtection="1">
      <alignment horizontal="center" vertical="center"/>
    </xf>
    <xf numFmtId="10" fontId="12" fillId="15" borderId="1" xfId="0" applyNumberFormat="1" applyFont="1" applyFill="1" applyBorder="1" applyAlignment="1" applyProtection="1">
      <alignment horizontal="center" vertical="center"/>
      <protection locked="0"/>
    </xf>
    <xf numFmtId="10" fontId="7" fillId="11" borderId="1" xfId="83" applyNumberFormat="1" applyFont="1" applyFill="1" applyBorder="1" applyAlignment="1" applyProtection="1">
      <alignment horizontal="center" vertical="center"/>
    </xf>
    <xf numFmtId="17" fontId="20" fillId="7" borderId="6" xfId="0" applyNumberFormat="1" applyFont="1" applyFill="1" applyBorder="1" applyAlignment="1">
      <alignment horizontal="center" vertical="center" wrapText="1"/>
    </xf>
    <xf numFmtId="14" fontId="70" fillId="0" borderId="6" xfId="0" applyNumberFormat="1" applyFont="1" applyBorder="1" applyAlignment="1">
      <alignment horizontal="center" vertical="center" wrapText="1"/>
    </xf>
    <xf numFmtId="0" fontId="70" fillId="0" borderId="6" xfId="0" applyFont="1" applyBorder="1" applyAlignment="1">
      <alignment horizontal="center" vertical="center" wrapText="1"/>
    </xf>
    <xf numFmtId="166" fontId="70" fillId="0" borderId="6" xfId="0" applyNumberFormat="1" applyFont="1" applyBorder="1" applyAlignment="1">
      <alignment horizontal="center" vertical="center" wrapText="1"/>
    </xf>
    <xf numFmtId="0" fontId="16" fillId="0" borderId="0" xfId="0" applyFont="1" applyAlignment="1">
      <alignment horizontal="center" vertical="center"/>
    </xf>
    <xf numFmtId="167" fontId="20" fillId="7" borderId="8" xfId="0" applyNumberFormat="1" applyFont="1" applyFill="1" applyBorder="1" applyAlignment="1">
      <alignment horizontal="center" vertical="center" wrapText="1"/>
    </xf>
    <xf numFmtId="14" fontId="16" fillId="7" borderId="9" xfId="0" applyNumberFormat="1" applyFont="1" applyFill="1" applyBorder="1" applyAlignment="1">
      <alignment vertical="center"/>
    </xf>
    <xf numFmtId="0" fontId="16" fillId="7" borderId="9" xfId="0" applyFont="1" applyFill="1" applyBorder="1" applyAlignment="1">
      <alignment horizontal="center"/>
    </xf>
    <xf numFmtId="166" fontId="16" fillId="7" borderId="9" xfId="0" applyNumberFormat="1" applyFont="1" applyFill="1" applyBorder="1" applyAlignment="1">
      <alignment horizontal="center"/>
    </xf>
    <xf numFmtId="0" fontId="17" fillId="7" borderId="9" xfId="0" applyFont="1" applyFill="1" applyBorder="1" applyAlignment="1">
      <alignment horizontal="center"/>
    </xf>
    <xf numFmtId="4" fontId="16" fillId="7" borderId="9" xfId="0" applyNumberFormat="1" applyFont="1" applyFill="1" applyBorder="1"/>
    <xf numFmtId="4" fontId="16" fillId="7" borderId="10" xfId="0" applyNumberFormat="1" applyFont="1" applyFill="1" applyBorder="1"/>
    <xf numFmtId="0" fontId="16" fillId="0" borderId="0" xfId="0" applyFont="1"/>
    <xf numFmtId="44" fontId="16" fillId="11" borderId="12" xfId="0" applyNumberFormat="1" applyFont="1" applyFill="1" applyBorder="1" applyAlignment="1">
      <alignment horizontal="left" vertical="center"/>
    </xf>
    <xf numFmtId="4" fontId="16" fillId="11" borderId="12" xfId="0" applyNumberFormat="1" applyFont="1" applyFill="1" applyBorder="1" applyAlignment="1">
      <alignment horizontal="left" vertical="center"/>
    </xf>
    <xf numFmtId="4" fontId="16" fillId="11" borderId="16" xfId="0" applyNumberFormat="1" applyFont="1" applyFill="1" applyBorder="1" applyAlignment="1">
      <alignment horizontal="left" vertical="center"/>
    </xf>
    <xf numFmtId="0" fontId="16" fillId="0" borderId="0" xfId="0" applyFont="1" applyAlignment="1">
      <alignment horizontal="left" vertical="center"/>
    </xf>
    <xf numFmtId="44" fontId="18" fillId="8" borderId="1" xfId="0" applyNumberFormat="1" applyFont="1" applyFill="1" applyBorder="1" applyAlignment="1">
      <alignment horizontal="center" vertical="center"/>
    </xf>
    <xf numFmtId="44" fontId="18" fillId="9" borderId="1" xfId="0" applyNumberFormat="1" applyFont="1" applyFill="1" applyBorder="1" applyAlignment="1">
      <alignment horizontal="center" vertical="center"/>
    </xf>
    <xf numFmtId="44" fontId="16" fillId="6" borderId="1" xfId="0" applyNumberFormat="1" applyFont="1" applyFill="1" applyBorder="1" applyAlignment="1">
      <alignment horizontal="center" vertical="center"/>
    </xf>
    <xf numFmtId="44" fontId="16" fillId="11" borderId="9" xfId="0" applyNumberFormat="1" applyFont="1" applyFill="1" applyBorder="1" applyAlignment="1">
      <alignment horizontal="left" vertical="center"/>
    </xf>
    <xf numFmtId="4" fontId="16" fillId="11" borderId="9" xfId="0" applyNumberFormat="1" applyFont="1" applyFill="1" applyBorder="1" applyAlignment="1">
      <alignment horizontal="left" vertical="center"/>
    </xf>
    <xf numFmtId="4" fontId="16" fillId="11" borderId="10" xfId="0" applyNumberFormat="1" applyFont="1" applyFill="1" applyBorder="1" applyAlignment="1">
      <alignment horizontal="left" vertical="center"/>
    </xf>
    <xf numFmtId="0" fontId="16" fillId="0" borderId="0" xfId="0" applyFont="1" applyAlignment="1">
      <alignment vertical="center"/>
    </xf>
    <xf numFmtId="0" fontId="17" fillId="5" borderId="1" xfId="0" applyFont="1" applyFill="1" applyBorder="1" applyAlignment="1">
      <alignment horizontal="right"/>
    </xf>
    <xf numFmtId="44" fontId="18" fillId="5" borderId="1" xfId="7" applyFont="1" applyFill="1" applyBorder="1" applyAlignment="1" applyProtection="1">
      <alignment horizontal="center" vertical="center"/>
    </xf>
    <xf numFmtId="44" fontId="16" fillId="5" borderId="1" xfId="7" applyFont="1" applyFill="1" applyBorder="1" applyAlignment="1" applyProtection="1">
      <alignment horizontal="center" vertical="center"/>
    </xf>
    <xf numFmtId="0" fontId="17" fillId="6" borderId="1" xfId="0" applyFont="1" applyFill="1" applyBorder="1" applyAlignment="1">
      <alignment horizontal="right" vertical="center"/>
    </xf>
    <xf numFmtId="44" fontId="16" fillId="6" borderId="1" xfId="7" applyFont="1" applyFill="1" applyBorder="1" applyAlignment="1" applyProtection="1">
      <alignment horizontal="center" vertical="center"/>
    </xf>
    <xf numFmtId="44" fontId="19" fillId="6" borderId="1" xfId="0" applyNumberFormat="1" applyFont="1" applyFill="1" applyBorder="1" applyAlignment="1">
      <alignment horizontal="center" vertical="center"/>
    </xf>
    <xf numFmtId="0" fontId="17" fillId="4" borderId="1" xfId="0" applyFont="1" applyFill="1" applyBorder="1" applyAlignment="1">
      <alignment horizontal="right" vertical="center"/>
    </xf>
    <xf numFmtId="44" fontId="18" fillId="4" borderId="1" xfId="0" applyNumberFormat="1" applyFont="1" applyFill="1" applyBorder="1" applyAlignment="1">
      <alignment horizontal="center" vertical="center"/>
    </xf>
    <xf numFmtId="44" fontId="16" fillId="4" borderId="1" xfId="0" applyNumberFormat="1" applyFont="1" applyFill="1" applyBorder="1" applyAlignment="1">
      <alignment horizontal="center" vertical="center"/>
    </xf>
    <xf numFmtId="0" fontId="16" fillId="3" borderId="1" xfId="0" applyFont="1" applyFill="1" applyBorder="1" applyAlignment="1">
      <alignment horizontal="right" vertical="center"/>
    </xf>
    <xf numFmtId="44" fontId="18" fillId="3" borderId="1" xfId="7" applyFont="1" applyFill="1" applyBorder="1" applyAlignment="1" applyProtection="1">
      <alignment horizontal="center" vertical="center"/>
    </xf>
    <xf numFmtId="44" fontId="16" fillId="3" borderId="1" xfId="7" applyFont="1" applyFill="1" applyBorder="1" applyAlignment="1" applyProtection="1">
      <alignment horizontal="center" vertical="center"/>
    </xf>
    <xf numFmtId="2" fontId="33" fillId="11" borderId="1" xfId="0" applyNumberFormat="1" applyFont="1" applyFill="1" applyBorder="1" applyAlignment="1">
      <alignment horizontal="right" vertical="center" wrapText="1"/>
    </xf>
    <xf numFmtId="2" fontId="18" fillId="11" borderId="1" xfId="0" applyNumberFormat="1" applyFont="1" applyFill="1" applyBorder="1" applyAlignment="1">
      <alignment horizontal="center" vertical="center" wrapText="1"/>
    </xf>
    <xf numFmtId="2" fontId="16" fillId="11" borderId="1" xfId="0" applyNumberFormat="1" applyFont="1" applyFill="1" applyBorder="1" applyAlignment="1">
      <alignment horizontal="center" vertical="center" wrapText="1"/>
    </xf>
    <xf numFmtId="166" fontId="18" fillId="7" borderId="1" xfId="0" applyNumberFormat="1" applyFont="1" applyFill="1" applyBorder="1" applyAlignment="1">
      <alignment horizontal="right" vertical="center"/>
    </xf>
    <xf numFmtId="44" fontId="18" fillId="7" borderId="1" xfId="0" applyNumberFormat="1" applyFont="1" applyFill="1" applyBorder="1" applyAlignment="1">
      <alignment horizontal="center" vertical="center"/>
    </xf>
    <xf numFmtId="0" fontId="72" fillId="0" borderId="0" xfId="0" applyFont="1" applyAlignment="1">
      <alignment vertical="center"/>
    </xf>
    <xf numFmtId="9" fontId="16" fillId="0" borderId="0" xfId="83" applyFont="1" applyProtection="1"/>
    <xf numFmtId="44" fontId="16" fillId="0" borderId="0" xfId="0" applyNumberFormat="1" applyFont="1"/>
    <xf numFmtId="0" fontId="73" fillId="0" borderId="0" xfId="0" applyFont="1"/>
    <xf numFmtId="0" fontId="31" fillId="11" borderId="1" xfId="0" applyFont="1" applyFill="1" applyBorder="1" applyAlignment="1">
      <alignment horizontal="right" vertical="center"/>
    </xf>
    <xf numFmtId="44" fontId="31" fillId="11" borderId="1" xfId="0" applyNumberFormat="1" applyFont="1" applyFill="1" applyBorder="1" applyAlignment="1">
      <alignment horizontal="center" vertical="center"/>
    </xf>
    <xf numFmtId="44" fontId="17" fillId="4" borderId="1" xfId="7" applyFont="1" applyFill="1" applyBorder="1" applyAlignment="1" applyProtection="1">
      <alignment horizontal="center" vertical="center"/>
    </xf>
    <xf numFmtId="44" fontId="19" fillId="4" borderId="1" xfId="7" applyFont="1" applyFill="1" applyBorder="1" applyAlignment="1" applyProtection="1">
      <alignment horizontal="center" vertical="center"/>
    </xf>
    <xf numFmtId="44" fontId="17" fillId="3" borderId="1" xfId="7" applyFont="1" applyFill="1" applyBorder="1" applyAlignment="1" applyProtection="1">
      <alignment horizontal="center" vertical="center"/>
    </xf>
    <xf numFmtId="44" fontId="19" fillId="3" borderId="1" xfId="7" applyFont="1" applyFill="1" applyBorder="1" applyAlignment="1" applyProtection="1">
      <alignment horizontal="center" vertical="center"/>
    </xf>
    <xf numFmtId="0" fontId="17" fillId="7" borderId="1" xfId="0" applyFont="1" applyFill="1" applyBorder="1" applyAlignment="1">
      <alignment horizontal="right" vertical="center"/>
    </xf>
    <xf numFmtId="44" fontId="17" fillId="7" borderId="1" xfId="7" applyFont="1" applyFill="1" applyBorder="1" applyAlignment="1" applyProtection="1">
      <alignment horizontal="center" vertical="center"/>
    </xf>
    <xf numFmtId="44" fontId="19" fillId="7" borderId="1" xfId="7" applyFont="1" applyFill="1" applyBorder="1" applyAlignment="1" applyProtection="1">
      <alignment horizontal="center" vertical="center"/>
    </xf>
    <xf numFmtId="166" fontId="18" fillId="6" borderId="1" xfId="0" applyNumberFormat="1" applyFont="1" applyFill="1" applyBorder="1" applyAlignment="1">
      <alignment horizontal="center" vertical="center"/>
    </xf>
    <xf numFmtId="14" fontId="16" fillId="0" borderId="0" xfId="0" applyNumberFormat="1" applyFont="1" applyAlignment="1">
      <alignment horizontal="center" vertical="center"/>
    </xf>
    <xf numFmtId="166" fontId="17" fillId="13" borderId="1" xfId="0" applyNumberFormat="1" applyFont="1" applyFill="1" applyBorder="1" applyAlignment="1">
      <alignment horizontal="center" vertical="center"/>
    </xf>
    <xf numFmtId="0" fontId="18" fillId="3" borderId="1" xfId="0" applyFont="1" applyFill="1" applyBorder="1" applyAlignment="1">
      <alignment horizontal="center" vertical="center"/>
    </xf>
    <xf numFmtId="0" fontId="16" fillId="0" borderId="0" xfId="0" applyFont="1" applyAlignment="1">
      <alignment horizontal="center"/>
    </xf>
    <xf numFmtId="8" fontId="16" fillId="0" borderId="0" xfId="0" applyNumberFormat="1" applyFont="1"/>
    <xf numFmtId="0" fontId="38" fillId="0" borderId="0" xfId="141" applyFont="1" applyAlignment="1">
      <alignment horizontal="center"/>
    </xf>
    <xf numFmtId="0" fontId="38" fillId="0" borderId="0" xfId="141" applyFont="1"/>
    <xf numFmtId="0" fontId="5" fillId="0" borderId="0" xfId="0" applyFont="1"/>
    <xf numFmtId="0" fontId="70" fillId="11" borderId="8" xfId="0" applyFont="1" applyFill="1" applyBorder="1" applyAlignment="1">
      <alignment horizontal="left" vertical="center"/>
    </xf>
    <xf numFmtId="0" fontId="5" fillId="3" borderId="41" xfId="0" applyFont="1" applyFill="1" applyBorder="1" applyAlignment="1" applyProtection="1">
      <alignment horizontal="center" vertical="center"/>
      <protection locked="0"/>
    </xf>
    <xf numFmtId="165" fontId="54" fillId="3" borderId="1" xfId="0" applyNumberFormat="1" applyFont="1" applyFill="1" applyBorder="1" applyAlignment="1" applyProtection="1">
      <alignment horizontal="center" vertical="center"/>
      <protection locked="0"/>
    </xf>
    <xf numFmtId="165" fontId="5" fillId="3" borderId="1" xfId="0" applyNumberFormat="1" applyFont="1" applyFill="1" applyBorder="1" applyAlignment="1" applyProtection="1">
      <alignment horizontal="center" vertical="center" wrapText="1"/>
      <protection locked="0"/>
    </xf>
    <xf numFmtId="10" fontId="19" fillId="6" borderId="1" xfId="83" applyNumberFormat="1" applyFont="1" applyFill="1" applyBorder="1" applyAlignment="1" applyProtection="1">
      <alignment horizontal="center" vertical="center"/>
    </xf>
    <xf numFmtId="10" fontId="17" fillId="13" borderId="1" xfId="83" applyNumberFormat="1" applyFont="1" applyFill="1" applyBorder="1" applyAlignment="1" applyProtection="1">
      <alignment horizontal="center" vertical="center"/>
    </xf>
    <xf numFmtId="10" fontId="71" fillId="14" borderId="1" xfId="83" applyNumberFormat="1" applyFont="1" applyFill="1" applyBorder="1" applyAlignment="1" applyProtection="1">
      <alignment horizontal="center" vertical="center"/>
    </xf>
    <xf numFmtId="10" fontId="17" fillId="6" borderId="1" xfId="83" applyNumberFormat="1" applyFont="1" applyFill="1" applyBorder="1" applyAlignment="1" applyProtection="1">
      <alignment horizontal="center" vertical="center"/>
    </xf>
    <xf numFmtId="0" fontId="5" fillId="0" borderId="0" xfId="0" applyFont="1" applyAlignment="1">
      <alignment horizontal="left" vertical="center"/>
    </xf>
    <xf numFmtId="44" fontId="8" fillId="24" borderId="6" xfId="7" applyFont="1" applyFill="1" applyBorder="1" applyProtection="1">
      <protection locked="0"/>
    </xf>
    <xf numFmtId="0" fontId="8" fillId="0" borderId="6" xfId="0" applyFont="1" applyBorder="1" applyProtection="1">
      <protection locked="0"/>
    </xf>
    <xf numFmtId="0" fontId="7" fillId="0" borderId="6" xfId="0" applyFont="1" applyBorder="1" applyAlignment="1" applyProtection="1">
      <alignment horizontal="center"/>
      <protection locked="0"/>
    </xf>
    <xf numFmtId="165" fontId="5" fillId="0" borderId="14" xfId="0" applyNumberFormat="1" applyFont="1" applyBorder="1" applyAlignment="1">
      <alignment horizontal="center" vertical="center"/>
    </xf>
    <xf numFmtId="0" fontId="5" fillId="0" borderId="0" xfId="0" applyFont="1" applyAlignment="1">
      <alignment vertical="center"/>
    </xf>
    <xf numFmtId="0" fontId="5" fillId="4" borderId="0" xfId="0" applyFont="1" applyFill="1" applyAlignment="1">
      <alignment vertical="center"/>
    </xf>
    <xf numFmtId="166" fontId="5" fillId="0" borderId="16" xfId="0" applyNumberFormat="1" applyFont="1" applyBorder="1" applyAlignment="1">
      <alignment horizontal="center" vertical="center"/>
    </xf>
    <xf numFmtId="166" fontId="5" fillId="0" borderId="7" xfId="0" applyNumberFormat="1" applyFont="1" applyBorder="1" applyAlignment="1">
      <alignment horizontal="center" vertical="center"/>
    </xf>
    <xf numFmtId="166" fontId="5" fillId="0" borderId="11" xfId="0" applyNumberFormat="1" applyFont="1" applyBorder="1" applyAlignment="1">
      <alignment horizontal="center" vertical="center"/>
    </xf>
    <xf numFmtId="8" fontId="5" fillId="0" borderId="50" xfId="0" applyNumberFormat="1" applyFont="1" applyBorder="1" applyAlignment="1">
      <alignment vertical="center"/>
    </xf>
    <xf numFmtId="166" fontId="5" fillId="0" borderId="17" xfId="0" applyNumberFormat="1" applyFont="1" applyBorder="1" applyAlignment="1">
      <alignment vertical="center"/>
    </xf>
    <xf numFmtId="166" fontId="5" fillId="0" borderId="34" xfId="0" applyNumberFormat="1" applyFont="1" applyBorder="1" applyAlignment="1">
      <alignment vertical="center"/>
    </xf>
    <xf numFmtId="166" fontId="5" fillId="0" borderId="10" xfId="0" applyNumberFormat="1" applyFont="1" applyBorder="1" applyAlignment="1">
      <alignment horizontal="center" vertical="center"/>
    </xf>
    <xf numFmtId="166" fontId="5" fillId="0" borderId="1" xfId="0" applyNumberFormat="1" applyFont="1" applyBorder="1" applyAlignment="1">
      <alignment horizontal="center" vertical="center"/>
    </xf>
    <xf numFmtId="166" fontId="5" fillId="0" borderId="8" xfId="0" applyNumberFormat="1" applyFont="1" applyBorder="1" applyAlignment="1">
      <alignment horizontal="center" vertical="center"/>
    </xf>
    <xf numFmtId="8" fontId="5" fillId="0" borderId="51" xfId="0" applyNumberFormat="1" applyFont="1" applyBorder="1" applyAlignment="1">
      <alignment vertical="center"/>
    </xf>
    <xf numFmtId="166" fontId="5" fillId="6" borderId="19" xfId="0" applyNumberFormat="1" applyFont="1" applyFill="1" applyBorder="1" applyAlignment="1">
      <alignment vertical="center"/>
    </xf>
    <xf numFmtId="166" fontId="5" fillId="17" borderId="21" xfId="0" applyNumberFormat="1" applyFont="1" applyFill="1" applyBorder="1" applyAlignment="1" applyProtection="1">
      <alignment vertical="center"/>
      <protection locked="0"/>
    </xf>
    <xf numFmtId="0" fontId="5" fillId="15" borderId="0" xfId="0" applyFont="1" applyFill="1" applyAlignment="1">
      <alignment vertical="center"/>
    </xf>
    <xf numFmtId="166" fontId="5" fillId="0" borderId="19" xfId="0" applyNumberFormat="1" applyFont="1" applyBorder="1" applyAlignment="1">
      <alignment vertical="center"/>
    </xf>
    <xf numFmtId="166" fontId="5" fillId="0" borderId="20" xfId="0" applyNumberFormat="1" applyFont="1" applyBorder="1" applyAlignment="1">
      <alignment vertical="center"/>
    </xf>
    <xf numFmtId="0" fontId="5" fillId="4" borderId="19" xfId="0" applyFont="1" applyFill="1" applyBorder="1" applyAlignment="1">
      <alignment vertical="center"/>
    </xf>
    <xf numFmtId="166" fontId="5" fillId="0" borderId="48" xfId="0" applyNumberFormat="1" applyFont="1" applyBorder="1" applyAlignment="1">
      <alignment vertical="center"/>
    </xf>
    <xf numFmtId="166" fontId="5" fillId="0" borderId="21" xfId="0" applyNumberFormat="1" applyFont="1" applyBorder="1" applyAlignment="1">
      <alignment vertical="center"/>
    </xf>
    <xf numFmtId="166" fontId="5" fillId="0" borderId="41" xfId="0" applyNumberFormat="1" applyFont="1" applyBorder="1" applyAlignment="1">
      <alignment vertical="center"/>
    </xf>
    <xf numFmtId="0" fontId="5" fillId="6" borderId="23" xfId="0" applyFont="1" applyFill="1" applyBorder="1" applyAlignment="1">
      <alignment vertical="center"/>
    </xf>
    <xf numFmtId="166" fontId="5" fillId="0" borderId="24" xfId="0" applyNumberFormat="1" applyFont="1" applyBorder="1" applyAlignment="1">
      <alignment vertical="center"/>
    </xf>
    <xf numFmtId="166" fontId="5" fillId="0" borderId="3" xfId="7" applyNumberFormat="1" applyFont="1" applyBorder="1" applyAlignment="1" applyProtection="1">
      <alignment horizontal="center" vertical="center"/>
    </xf>
    <xf numFmtId="8" fontId="5" fillId="0" borderId="22" xfId="0" applyNumberFormat="1" applyFont="1" applyBorder="1" applyAlignment="1">
      <alignment horizontal="center" vertical="center"/>
    </xf>
    <xf numFmtId="166" fontId="5" fillId="0" borderId="16" xfId="0" applyNumberFormat="1" applyFont="1" applyBorder="1" applyAlignment="1" applyProtection="1">
      <alignment horizontal="center"/>
      <protection locked="0"/>
    </xf>
    <xf numFmtId="166" fontId="5" fillId="0" borderId="7" xfId="0" applyNumberFormat="1" applyFont="1" applyBorder="1" applyAlignment="1" applyProtection="1">
      <alignment horizontal="center"/>
      <protection locked="0"/>
    </xf>
    <xf numFmtId="166" fontId="5" fillId="0" borderId="11" xfId="0" applyNumberFormat="1" applyFont="1" applyBorder="1" applyAlignment="1" applyProtection="1">
      <alignment horizontal="center"/>
      <protection locked="0"/>
    </xf>
    <xf numFmtId="166" fontId="5" fillId="0" borderId="10" xfId="0" applyNumberFormat="1" applyFont="1" applyBorder="1" applyAlignment="1" applyProtection="1">
      <alignment horizontal="center"/>
      <protection locked="0"/>
    </xf>
    <xf numFmtId="166" fontId="5" fillId="0" borderId="1" xfId="0" applyNumberFormat="1" applyFont="1" applyBorder="1" applyAlignment="1" applyProtection="1">
      <alignment horizontal="center"/>
      <protection locked="0"/>
    </xf>
    <xf numFmtId="166" fontId="5" fillId="0" borderId="8" xfId="0" applyNumberFormat="1" applyFont="1" applyBorder="1" applyAlignment="1" applyProtection="1">
      <alignment horizontal="center"/>
      <protection locked="0"/>
    </xf>
    <xf numFmtId="44" fontId="7" fillId="3" borderId="1" xfId="0" applyNumberFormat="1" applyFont="1" applyFill="1" applyBorder="1" applyAlignment="1">
      <alignment horizontal="center" vertical="center"/>
    </xf>
    <xf numFmtId="165" fontId="22" fillId="0" borderId="58" xfId="0" applyNumberFormat="1" applyFont="1" applyBorder="1" applyAlignment="1">
      <alignment vertical="center" wrapText="1"/>
    </xf>
    <xf numFmtId="44" fontId="52" fillId="18" borderId="1" xfId="100" applyFont="1" applyFill="1" applyBorder="1" applyAlignment="1" applyProtection="1">
      <alignment horizontal="center" vertical="center" wrapText="1"/>
    </xf>
    <xf numFmtId="165" fontId="52" fillId="18" borderId="21" xfId="0" applyNumberFormat="1" applyFont="1" applyFill="1" applyBorder="1" applyAlignment="1">
      <alignment horizontal="center" vertical="center" wrapText="1"/>
    </xf>
    <xf numFmtId="44" fontId="8" fillId="19" borderId="1" xfId="100" applyFont="1" applyFill="1" applyBorder="1" applyAlignment="1" applyProtection="1">
      <alignment vertical="center"/>
      <protection locked="0"/>
    </xf>
    <xf numFmtId="165" fontId="8" fillId="3" borderId="19" xfId="0" applyNumberFormat="1" applyFont="1" applyFill="1" applyBorder="1" applyAlignment="1" applyProtection="1">
      <alignment vertical="center"/>
      <protection locked="0"/>
    </xf>
    <xf numFmtId="165" fontId="8" fillId="0" borderId="59" xfId="0" applyNumberFormat="1" applyFont="1" applyBorder="1" applyAlignment="1">
      <alignment vertical="center"/>
    </xf>
    <xf numFmtId="44" fontId="15" fillId="0" borderId="10" xfId="100" applyFont="1" applyFill="1" applyBorder="1" applyAlignment="1" applyProtection="1">
      <alignment vertical="center"/>
    </xf>
    <xf numFmtId="165" fontId="53" fillId="0" borderId="20" xfId="0" applyNumberFormat="1" applyFont="1" applyBorder="1" applyAlignment="1">
      <alignment vertical="center" wrapText="1"/>
    </xf>
    <xf numFmtId="165" fontId="62" fillId="3" borderId="19" xfId="0" applyNumberFormat="1" applyFont="1" applyFill="1" applyBorder="1" applyAlignment="1">
      <alignment vertical="center"/>
    </xf>
    <xf numFmtId="44" fontId="51" fillId="19" borderId="1" xfId="100" applyFont="1" applyFill="1" applyBorder="1" applyAlignment="1" applyProtection="1">
      <alignment vertical="center"/>
    </xf>
    <xf numFmtId="0" fontId="51" fillId="19" borderId="21" xfId="0" applyFont="1" applyFill="1" applyBorder="1" applyAlignment="1">
      <alignment horizontal="center" vertical="center"/>
    </xf>
    <xf numFmtId="165" fontId="8" fillId="3" borderId="19" xfId="0" applyNumberFormat="1" applyFont="1" applyFill="1" applyBorder="1" applyAlignment="1">
      <alignment horizontal="left" vertical="center"/>
    </xf>
    <xf numFmtId="165" fontId="8" fillId="0" borderId="60" xfId="0" applyNumberFormat="1" applyFont="1" applyBorder="1" applyAlignment="1">
      <alignment vertical="center"/>
    </xf>
    <xf numFmtId="165" fontId="7" fillId="0" borderId="61" xfId="0" applyNumberFormat="1" applyFont="1" applyBorder="1" applyAlignment="1">
      <alignment horizontal="center" vertical="center"/>
    </xf>
    <xf numFmtId="165" fontId="5" fillId="0" borderId="62" xfId="0" applyNumberFormat="1" applyFont="1" applyBorder="1" applyAlignment="1">
      <alignment horizontal="center" vertical="center"/>
    </xf>
    <xf numFmtId="44" fontId="15" fillId="0" borderId="61" xfId="100" applyFont="1" applyFill="1" applyBorder="1" applyAlignment="1" applyProtection="1">
      <alignment vertical="center"/>
    </xf>
    <xf numFmtId="44" fontId="7" fillId="20" borderId="33" xfId="0" applyNumberFormat="1" applyFont="1" applyFill="1" applyBorder="1" applyAlignment="1">
      <alignment horizontal="center" vertical="center"/>
    </xf>
    <xf numFmtId="165" fontId="53" fillId="0" borderId="24" xfId="0" applyNumberFormat="1" applyFont="1" applyBorder="1" applyAlignment="1">
      <alignment vertical="center" wrapText="1"/>
    </xf>
    <xf numFmtId="165" fontId="8" fillId="0" borderId="14" xfId="0" applyNumberFormat="1" applyFont="1" applyBorder="1" applyAlignment="1">
      <alignment vertical="center"/>
    </xf>
    <xf numFmtId="165" fontId="53" fillId="0" borderId="8" xfId="0" applyNumberFormat="1" applyFont="1" applyBorder="1" applyAlignment="1">
      <alignment vertical="center" wrapText="1"/>
    </xf>
    <xf numFmtId="165" fontId="22" fillId="0" borderId="0" xfId="0" applyNumberFormat="1" applyFont="1" applyAlignment="1">
      <alignment vertical="center" wrapText="1"/>
    </xf>
    <xf numFmtId="44" fontId="52" fillId="18" borderId="6" xfId="100" applyFont="1" applyFill="1" applyBorder="1" applyAlignment="1" applyProtection="1">
      <alignment horizontal="center" vertical="center" wrapText="1"/>
    </xf>
    <xf numFmtId="0" fontId="55" fillId="19" borderId="1" xfId="0" applyFont="1" applyFill="1" applyBorder="1" applyAlignment="1">
      <alignment horizontal="center" vertical="center"/>
    </xf>
    <xf numFmtId="165" fontId="5" fillId="0" borderId="8" xfId="0" applyNumberFormat="1" applyFont="1" applyBorder="1" applyAlignment="1">
      <alignment horizontal="center" vertical="center"/>
    </xf>
    <xf numFmtId="165" fontId="53" fillId="0" borderId="13" xfId="0" applyNumberFormat="1" applyFont="1" applyBorder="1" applyAlignment="1">
      <alignment vertical="center" wrapText="1"/>
    </xf>
    <xf numFmtId="165" fontId="22" fillId="0" borderId="0" xfId="0" applyNumberFormat="1" applyFont="1" applyAlignment="1">
      <alignment vertical="center"/>
    </xf>
    <xf numFmtId="165" fontId="8" fillId="0" borderId="0" xfId="0" applyNumberFormat="1" applyFont="1" applyAlignment="1">
      <alignment vertical="center"/>
    </xf>
    <xf numFmtId="165" fontId="7" fillId="0" borderId="0" xfId="0" applyNumberFormat="1" applyFont="1" applyAlignment="1">
      <alignment horizontal="center" vertical="center"/>
    </xf>
    <xf numFmtId="165" fontId="53" fillId="0" borderId="0" xfId="0" applyNumberFormat="1" applyFont="1" applyAlignment="1">
      <alignment vertical="center" wrapText="1"/>
    </xf>
    <xf numFmtId="165" fontId="22" fillId="0" borderId="0" xfId="0" applyNumberFormat="1" applyFont="1" applyAlignment="1">
      <alignment horizontal="center" vertical="center" wrapText="1"/>
    </xf>
    <xf numFmtId="0" fontId="56" fillId="0" borderId="26" xfId="0" applyFont="1" applyBorder="1" applyAlignment="1">
      <alignment horizontal="center" vertical="center"/>
    </xf>
    <xf numFmtId="0" fontId="56" fillId="0" borderId="27" xfId="0" applyFont="1" applyBorder="1" applyAlignment="1">
      <alignment horizontal="center" vertical="center"/>
    </xf>
    <xf numFmtId="0" fontId="56" fillId="0" borderId="28" xfId="0" applyFont="1" applyBorder="1" applyAlignment="1">
      <alignment horizontal="center" vertical="center"/>
    </xf>
    <xf numFmtId="0" fontId="0" fillId="0" borderId="29" xfId="0" applyBorder="1" applyAlignment="1">
      <alignment horizontal="center" vertical="center"/>
    </xf>
    <xf numFmtId="0" fontId="76" fillId="0" borderId="25" xfId="0" applyFont="1" applyBorder="1" applyAlignment="1">
      <alignment horizontal="center" vertical="center"/>
    </xf>
    <xf numFmtId="0" fontId="0" fillId="0" borderId="30" xfId="0" applyBorder="1" applyAlignment="1">
      <alignment horizontal="center" vertical="center"/>
    </xf>
    <xf numFmtId="0" fontId="56" fillId="0" borderId="0" xfId="0" applyFont="1" applyAlignment="1">
      <alignment horizontal="left" vertical="center"/>
    </xf>
    <xf numFmtId="0" fontId="6" fillId="0" borderId="0" xfId="0" applyFont="1"/>
    <xf numFmtId="0" fontId="56" fillId="0" borderId="5" xfId="0" applyFont="1" applyBorder="1"/>
    <xf numFmtId="0" fontId="0" fillId="0" borderId="3" xfId="0" applyBorder="1"/>
    <xf numFmtId="0" fontId="0" fillId="0" borderId="4" xfId="0" applyBorder="1"/>
    <xf numFmtId="164" fontId="23" fillId="18" borderId="8" xfId="101" applyNumberFormat="1" applyFont="1" applyFill="1" applyBorder="1" applyAlignment="1" applyProtection="1">
      <alignment horizontal="right" vertical="center"/>
    </xf>
    <xf numFmtId="8" fontId="31" fillId="11" borderId="1" xfId="0" applyNumberFormat="1" applyFont="1" applyFill="1" applyBorder="1" applyAlignment="1">
      <alignment horizontal="center" vertical="center"/>
    </xf>
    <xf numFmtId="44" fontId="7" fillId="21" borderId="44" xfId="7" applyFont="1" applyFill="1" applyBorder="1" applyAlignment="1" applyProtection="1">
      <alignment horizontal="right" vertical="center"/>
    </xf>
    <xf numFmtId="44" fontId="7" fillId="21" borderId="8" xfId="7" applyFont="1" applyFill="1" applyBorder="1" applyAlignment="1" applyProtection="1">
      <alignment horizontal="right" vertical="center"/>
    </xf>
    <xf numFmtId="44" fontId="7" fillId="21" borderId="45" xfId="7" applyFont="1" applyFill="1" applyBorder="1" applyAlignment="1" applyProtection="1">
      <alignment horizontal="right" vertical="center"/>
    </xf>
    <xf numFmtId="0" fontId="0" fillId="0" borderId="27" xfId="0" applyBorder="1"/>
    <xf numFmtId="0" fontId="0" fillId="0" borderId="42" xfId="0" applyBorder="1"/>
    <xf numFmtId="17" fontId="13" fillId="0" borderId="0" xfId="0" applyNumberFormat="1" applyFont="1" applyAlignment="1">
      <alignment horizontal="center" vertical="center"/>
    </xf>
    <xf numFmtId="0" fontId="12" fillId="0" borderId="0" xfId="0" applyFont="1" applyAlignment="1">
      <alignment vertical="center"/>
    </xf>
    <xf numFmtId="0" fontId="12" fillId="0" borderId="0" xfId="0" applyFont="1" applyAlignment="1">
      <alignment horizontal="center" vertical="center"/>
    </xf>
    <xf numFmtId="0" fontId="6" fillId="0" borderId="46" xfId="0" applyFont="1" applyBorder="1" applyAlignment="1">
      <alignment vertical="center"/>
    </xf>
    <xf numFmtId="0" fontId="6" fillId="0" borderId="40" xfId="0" applyFont="1" applyBorder="1" applyAlignment="1">
      <alignment vertical="center"/>
    </xf>
    <xf numFmtId="0" fontId="12" fillId="0" borderId="17" xfId="0" applyFont="1" applyBorder="1" applyAlignment="1">
      <alignment vertical="center"/>
    </xf>
    <xf numFmtId="0" fontId="12" fillId="0" borderId="19" xfId="0" applyFont="1" applyBorder="1" applyAlignment="1">
      <alignment vertical="center"/>
    </xf>
    <xf numFmtId="0" fontId="12" fillId="0" borderId="23" xfId="0" applyFont="1" applyBorder="1" applyAlignment="1">
      <alignment vertical="center"/>
    </xf>
    <xf numFmtId="0" fontId="7" fillId="0" borderId="36" xfId="0" applyFont="1" applyBorder="1" applyAlignment="1">
      <alignment horizontal="right" vertical="center" wrapText="1"/>
    </xf>
    <xf numFmtId="44" fontId="44" fillId="0" borderId="37" xfId="0" applyNumberFormat="1" applyFont="1" applyBorder="1" applyAlignment="1">
      <alignment vertical="center"/>
    </xf>
    <xf numFmtId="0" fontId="12" fillId="0" borderId="47" xfId="0" applyFont="1" applyBorder="1" applyAlignment="1">
      <alignment vertical="center"/>
    </xf>
    <xf numFmtId="0" fontId="7" fillId="0" borderId="36" xfId="0" applyFont="1" applyBorder="1" applyAlignment="1">
      <alignment horizontal="left" vertical="center" wrapText="1"/>
    </xf>
    <xf numFmtId="0" fontId="10" fillId="19" borderId="3" xfId="0" applyFont="1" applyFill="1" applyBorder="1" applyAlignment="1">
      <alignment horizontal="left" vertical="center"/>
    </xf>
    <xf numFmtId="0" fontId="7" fillId="19" borderId="3" xfId="0" applyFont="1" applyFill="1" applyBorder="1" applyAlignment="1">
      <alignment vertical="center"/>
    </xf>
    <xf numFmtId="0" fontId="7" fillId="19" borderId="4" xfId="0" applyFont="1" applyFill="1" applyBorder="1" applyAlignment="1">
      <alignment vertical="center"/>
    </xf>
    <xf numFmtId="0" fontId="7" fillId="0" borderId="0" xfId="0" applyFont="1" applyAlignment="1">
      <alignment horizontal="center" vertical="center"/>
    </xf>
    <xf numFmtId="164" fontId="93" fillId="0" borderId="17" xfId="210" applyNumberFormat="1" applyFont="1" applyBorder="1" applyAlignment="1" applyProtection="1">
      <alignment horizontal="center" vertical="center"/>
      <protection locked="0"/>
    </xf>
    <xf numFmtId="164" fontId="93" fillId="0" borderId="32" xfId="210" applyNumberFormat="1" applyFont="1" applyBorder="1" applyAlignment="1" applyProtection="1">
      <alignment horizontal="center" vertical="center"/>
      <protection locked="0"/>
    </xf>
    <xf numFmtId="164" fontId="93" fillId="0" borderId="77" xfId="210" applyNumberFormat="1" applyFont="1" applyBorder="1" applyAlignment="1" applyProtection="1">
      <alignment horizontal="center" vertical="center"/>
      <protection locked="0"/>
    </xf>
    <xf numFmtId="164" fontId="93" fillId="0" borderId="19" xfId="210" applyNumberFormat="1" applyFont="1" applyBorder="1" applyAlignment="1" applyProtection="1">
      <alignment horizontal="center" vertical="center"/>
      <protection locked="0"/>
    </xf>
    <xf numFmtId="164" fontId="93" fillId="0" borderId="1" xfId="210" applyNumberFormat="1" applyFont="1" applyBorder="1" applyAlignment="1" applyProtection="1">
      <alignment horizontal="center" vertical="center"/>
      <protection locked="0"/>
    </xf>
    <xf numFmtId="164" fontId="93" fillId="0" borderId="78" xfId="210" applyNumberFormat="1" applyFont="1" applyBorder="1" applyAlignment="1" applyProtection="1">
      <alignment horizontal="center" vertical="center"/>
      <protection locked="0"/>
    </xf>
    <xf numFmtId="164" fontId="93" fillId="0" borderId="57" xfId="210" applyNumberFormat="1" applyFont="1" applyBorder="1" applyAlignment="1" applyProtection="1">
      <alignment horizontal="center" vertical="center"/>
      <protection locked="0"/>
    </xf>
    <xf numFmtId="164" fontId="93" fillId="0" borderId="6" xfId="210" applyNumberFormat="1" applyFont="1" applyBorder="1" applyAlignment="1" applyProtection="1">
      <alignment horizontal="center" vertical="center"/>
      <protection locked="0"/>
    </xf>
    <xf numFmtId="164" fontId="93" fillId="0" borderId="79" xfId="210" applyNumberFormat="1" applyFont="1" applyBorder="1" applyAlignment="1" applyProtection="1">
      <alignment horizontal="center" vertical="center"/>
      <protection locked="0"/>
    </xf>
    <xf numFmtId="164" fontId="106" fillId="0" borderId="23" xfId="210" applyNumberFormat="1" applyFont="1" applyBorder="1" applyAlignment="1" applyProtection="1">
      <alignment horizontal="center" vertical="center" wrapText="1"/>
      <protection locked="0"/>
    </xf>
    <xf numFmtId="0" fontId="2" fillId="30" borderId="56" xfId="209" applyFill="1" applyBorder="1" applyAlignment="1" applyProtection="1">
      <alignment horizontal="center" vertical="center" wrapText="1"/>
      <protection locked="0"/>
    </xf>
    <xf numFmtId="164" fontId="106" fillId="0" borderId="61" xfId="210" applyNumberFormat="1" applyFont="1" applyBorder="1" applyAlignment="1" applyProtection="1">
      <alignment horizontal="center" vertical="center" wrapText="1"/>
      <protection locked="0"/>
    </xf>
    <xf numFmtId="164" fontId="106" fillId="0" borderId="33" xfId="210" applyNumberFormat="1" applyFont="1" applyBorder="1" applyAlignment="1" applyProtection="1">
      <alignment horizontal="center" vertical="center" wrapText="1"/>
      <protection locked="0"/>
    </xf>
    <xf numFmtId="0" fontId="89" fillId="0" borderId="22" xfId="209" applyFont="1" applyBorder="1" applyAlignment="1" applyProtection="1">
      <alignment horizontal="center" vertical="center"/>
      <protection locked="0"/>
    </xf>
    <xf numFmtId="164" fontId="106" fillId="0" borderId="45" xfId="210" applyNumberFormat="1" applyFont="1" applyBorder="1" applyAlignment="1" applyProtection="1">
      <alignment horizontal="center" vertical="center" wrapText="1"/>
    </xf>
    <xf numFmtId="164" fontId="106" fillId="0" borderId="33" xfId="210" applyNumberFormat="1" applyFont="1" applyBorder="1" applyAlignment="1" applyProtection="1">
      <alignment horizontal="center" vertical="center" wrapText="1"/>
    </xf>
    <xf numFmtId="0" fontId="2" fillId="0" borderId="80" xfId="209" applyBorder="1" applyAlignment="1">
      <alignment vertical="center"/>
    </xf>
    <xf numFmtId="0" fontId="2" fillId="0" borderId="81" xfId="209" applyBorder="1" applyAlignment="1">
      <alignment horizontal="center" vertical="center"/>
    </xf>
    <xf numFmtId="0" fontId="108" fillId="0" borderId="81" xfId="209" applyFont="1" applyBorder="1" applyAlignment="1">
      <alignment horizontal="right" vertical="center"/>
    </xf>
    <xf numFmtId="0" fontId="107" fillId="16" borderId="104" xfId="209" applyFont="1" applyFill="1" applyBorder="1" applyAlignment="1">
      <alignment horizontal="center" vertical="center"/>
    </xf>
    <xf numFmtId="0" fontId="2" fillId="0" borderId="81" xfId="209" applyBorder="1" applyAlignment="1">
      <alignment vertical="center"/>
    </xf>
    <xf numFmtId="0" fontId="112" fillId="0" borderId="105" xfId="209" applyFont="1" applyBorder="1" applyAlignment="1">
      <alignment vertical="center"/>
    </xf>
    <xf numFmtId="0" fontId="2" fillId="0" borderId="0" xfId="209" applyAlignment="1">
      <alignment vertical="center"/>
    </xf>
    <xf numFmtId="0" fontId="2" fillId="0" borderId="0" xfId="209"/>
    <xf numFmtId="0" fontId="2" fillId="0" borderId="0" xfId="209" applyAlignment="1">
      <alignment horizontal="center"/>
    </xf>
    <xf numFmtId="0" fontId="113" fillId="0" borderId="0" xfId="209" applyFont="1"/>
    <xf numFmtId="0" fontId="108" fillId="0" borderId="0" xfId="209" applyFont="1" applyAlignment="1">
      <alignment horizontal="right"/>
    </xf>
    <xf numFmtId="0" fontId="82" fillId="0" borderId="0" xfId="209" applyFont="1" applyAlignment="1">
      <alignment horizontal="left"/>
    </xf>
    <xf numFmtId="0" fontId="2" fillId="0" borderId="0" xfId="209" applyAlignment="1">
      <alignment horizontal="center" vertical="center" wrapText="1"/>
    </xf>
    <xf numFmtId="3" fontId="106" fillId="0" borderId="75" xfId="209" applyNumberFormat="1" applyFont="1" applyBorder="1" applyAlignment="1">
      <alignment horizontal="center" vertical="center" wrapText="1"/>
    </xf>
    <xf numFmtId="3" fontId="106" fillId="0" borderId="0" xfId="209" applyNumberFormat="1" applyFont="1" applyAlignment="1">
      <alignment horizontal="center" vertical="center" wrapText="1"/>
    </xf>
    <xf numFmtId="0" fontId="2" fillId="19" borderId="0" xfId="209" applyFill="1" applyAlignment="1">
      <alignment horizontal="center" vertical="center" wrapText="1"/>
    </xf>
    <xf numFmtId="0" fontId="110" fillId="0" borderId="0" xfId="209" applyFont="1" applyAlignment="1">
      <alignment horizontal="center" vertical="center" wrapText="1"/>
    </xf>
    <xf numFmtId="0" fontId="2" fillId="0" borderId="0" xfId="209" applyAlignment="1">
      <alignment horizontal="center" vertical="center"/>
    </xf>
    <xf numFmtId="0" fontId="2" fillId="0" borderId="75" xfId="209" applyBorder="1"/>
    <xf numFmtId="0" fontId="2" fillId="0" borderId="71" xfId="209" applyBorder="1" applyAlignment="1">
      <alignment horizontal="center" vertical="center"/>
    </xf>
    <xf numFmtId="0" fontId="111" fillId="0" borderId="5" xfId="209" applyFont="1" applyBorder="1" applyAlignment="1">
      <alignment horizontal="right" wrapText="1"/>
    </xf>
    <xf numFmtId="0" fontId="86" fillId="0" borderId="31" xfId="209" applyFont="1" applyBorder="1" applyAlignment="1">
      <alignment horizontal="center" vertical="center"/>
    </xf>
    <xf numFmtId="0" fontId="2" fillId="0" borderId="71" xfId="209" applyBorder="1"/>
    <xf numFmtId="0" fontId="86" fillId="0" borderId="22" xfId="209" applyFont="1" applyBorder="1" applyAlignment="1">
      <alignment horizontal="center" vertical="center"/>
    </xf>
    <xf numFmtId="4" fontId="98" fillId="19" borderId="93" xfId="209" applyNumberFormat="1" applyFont="1" applyFill="1" applyBorder="1" applyAlignment="1">
      <alignment horizontal="right" vertical="center" wrapText="1"/>
    </xf>
    <xf numFmtId="164" fontId="89" fillId="19" borderId="94" xfId="210" applyNumberFormat="1" applyFont="1" applyFill="1" applyBorder="1" applyAlignment="1" applyProtection="1">
      <alignment horizontal="center" vertical="center"/>
    </xf>
    <xf numFmtId="164" fontId="89" fillId="19" borderId="95" xfId="210" applyNumberFormat="1" applyFont="1" applyFill="1" applyBorder="1" applyAlignment="1" applyProtection="1">
      <alignment horizontal="center" vertical="center"/>
    </xf>
    <xf numFmtId="0" fontId="2" fillId="19" borderId="0" xfId="209" applyFill="1" applyAlignment="1">
      <alignment horizontal="center" vertical="center"/>
    </xf>
    <xf numFmtId="164" fontId="89" fillId="19" borderId="96" xfId="210" applyNumberFormat="1" applyFont="1" applyFill="1" applyBorder="1" applyAlignment="1" applyProtection="1">
      <alignment horizontal="center" vertical="center"/>
    </xf>
    <xf numFmtId="164" fontId="89" fillId="19" borderId="97" xfId="210" applyNumberFormat="1" applyFont="1" applyFill="1" applyBorder="1" applyAlignment="1" applyProtection="1">
      <alignment horizontal="center" vertical="center"/>
    </xf>
    <xf numFmtId="0" fontId="109" fillId="20" borderId="92" xfId="209" applyFont="1" applyFill="1" applyBorder="1" applyAlignment="1">
      <alignment vertical="center"/>
    </xf>
    <xf numFmtId="0" fontId="2" fillId="19" borderId="98" xfId="209" applyFill="1" applyBorder="1" applyAlignment="1">
      <alignment horizontal="center" vertical="center"/>
    </xf>
    <xf numFmtId="4" fontId="98" fillId="19" borderId="99" xfId="209" applyNumberFormat="1" applyFont="1" applyFill="1" applyBorder="1" applyAlignment="1">
      <alignment horizontal="right" vertical="center" wrapText="1"/>
    </xf>
    <xf numFmtId="164" fontId="89" fillId="19" borderId="100" xfId="210" applyNumberFormat="1" applyFont="1" applyFill="1" applyBorder="1" applyAlignment="1" applyProtection="1">
      <alignment horizontal="center" vertical="center"/>
    </xf>
    <xf numFmtId="164" fontId="89" fillId="19" borderId="101" xfId="210" applyNumberFormat="1" applyFont="1" applyFill="1" applyBorder="1" applyAlignment="1" applyProtection="1">
      <alignment horizontal="center" vertical="center"/>
    </xf>
    <xf numFmtId="0" fontId="2" fillId="19" borderId="102" xfId="209" applyFill="1" applyBorder="1" applyAlignment="1">
      <alignment horizontal="center" vertical="center"/>
    </xf>
    <xf numFmtId="0" fontId="2" fillId="19" borderId="103" xfId="209" applyFill="1" applyBorder="1" applyAlignment="1">
      <alignment horizontal="center" vertical="center"/>
    </xf>
    <xf numFmtId="4" fontId="98" fillId="31" borderId="22" xfId="209" applyNumberFormat="1" applyFont="1" applyFill="1" applyBorder="1" applyAlignment="1">
      <alignment horizontal="right" vertical="center" wrapText="1"/>
    </xf>
    <xf numFmtId="0" fontId="94" fillId="0" borderId="29" xfId="209" applyFont="1" applyBorder="1" applyAlignment="1">
      <alignment horizontal="right" vertical="center" wrapText="1"/>
    </xf>
    <xf numFmtId="164" fontId="79" fillId="30" borderId="36" xfId="210" applyNumberFormat="1" applyFont="1" applyFill="1" applyBorder="1" applyAlignment="1" applyProtection="1">
      <alignment horizontal="center" vertical="center"/>
    </xf>
    <xf numFmtId="1" fontId="79" fillId="0" borderId="0" xfId="209" applyNumberFormat="1" applyFont="1" applyAlignment="1">
      <alignment horizontal="center" vertical="center"/>
    </xf>
    <xf numFmtId="0" fontId="95" fillId="0" borderId="0" xfId="209" applyFont="1"/>
    <xf numFmtId="0" fontId="96" fillId="0" borderId="0" xfId="209" applyFont="1"/>
    <xf numFmtId="0" fontId="2" fillId="0" borderId="80" xfId="209" applyBorder="1"/>
    <xf numFmtId="0" fontId="2" fillId="0" borderId="81" xfId="209" applyBorder="1" applyAlignment="1">
      <alignment horizontal="center"/>
    </xf>
    <xf numFmtId="0" fontId="87" fillId="20" borderId="82" xfId="209" applyFont="1" applyFill="1" applyBorder="1" applyAlignment="1">
      <alignment horizontal="center" vertical="top" wrapText="1"/>
    </xf>
    <xf numFmtId="0" fontId="87" fillId="20" borderId="83" xfId="209" applyFont="1" applyFill="1" applyBorder="1" applyAlignment="1">
      <alignment horizontal="center" vertical="top"/>
    </xf>
    <xf numFmtId="0" fontId="87" fillId="20" borderId="83" xfId="209" applyFont="1" applyFill="1" applyBorder="1" applyAlignment="1">
      <alignment horizontal="center" vertical="top" wrapText="1"/>
    </xf>
    <xf numFmtId="0" fontId="88" fillId="20" borderId="83" xfId="209" applyFont="1" applyFill="1" applyBorder="1" applyAlignment="1">
      <alignment horizontal="center" vertical="top" wrapText="1"/>
    </xf>
    <xf numFmtId="0" fontId="89" fillId="20" borderId="83" xfId="209" applyFont="1" applyFill="1" applyBorder="1" applyAlignment="1">
      <alignment horizontal="center" vertical="top"/>
    </xf>
    <xf numFmtId="0" fontId="89" fillId="20" borderId="83" xfId="209" applyFont="1" applyFill="1" applyBorder="1" applyAlignment="1">
      <alignment horizontal="center" vertical="top" wrapText="1"/>
    </xf>
    <xf numFmtId="0" fontId="91" fillId="20" borderId="84" xfId="209" applyFont="1" applyFill="1" applyBorder="1" applyAlignment="1">
      <alignment horizontal="center" wrapText="1"/>
    </xf>
    <xf numFmtId="0" fontId="91" fillId="0" borderId="0" xfId="209" applyFont="1" applyAlignment="1">
      <alignment horizontal="center" wrapText="1"/>
    </xf>
    <xf numFmtId="0" fontId="2" fillId="29" borderId="0" xfId="209" applyFill="1"/>
    <xf numFmtId="0" fontId="2" fillId="29" borderId="0" xfId="209" applyFill="1" applyAlignment="1">
      <alignment horizontal="center"/>
    </xf>
    <xf numFmtId="0" fontId="87" fillId="29" borderId="0" xfId="209" applyFont="1" applyFill="1" applyAlignment="1">
      <alignment horizontal="center" vertical="top" wrapText="1"/>
    </xf>
    <xf numFmtId="0" fontId="87" fillId="29" borderId="0" xfId="209" applyFont="1" applyFill="1" applyAlignment="1">
      <alignment horizontal="center" vertical="top"/>
    </xf>
    <xf numFmtId="0" fontId="88" fillId="29" borderId="0" xfId="209" applyFont="1" applyFill="1" applyAlignment="1">
      <alignment horizontal="center" vertical="top" wrapText="1"/>
    </xf>
    <xf numFmtId="0" fontId="89" fillId="29" borderId="0" xfId="209" applyFont="1" applyFill="1" applyAlignment="1">
      <alignment horizontal="center" vertical="top"/>
    </xf>
    <xf numFmtId="0" fontId="89" fillId="29" borderId="0" xfId="209" applyFont="1" applyFill="1" applyAlignment="1">
      <alignment horizontal="center" vertical="top" wrapText="1"/>
    </xf>
    <xf numFmtId="0" fontId="91" fillId="29" borderId="0" xfId="209" applyFont="1" applyFill="1" applyAlignment="1">
      <alignment horizontal="center" wrapText="1"/>
    </xf>
    <xf numFmtId="0" fontId="97" fillId="0" borderId="5" xfId="209" applyFont="1" applyBorder="1" applyAlignment="1">
      <alignment horizontal="center" vertical="top" wrapText="1"/>
    </xf>
    <xf numFmtId="4" fontId="98" fillId="31" borderId="5" xfId="209" applyNumberFormat="1" applyFont="1" applyFill="1" applyBorder="1" applyAlignment="1">
      <alignment wrapText="1"/>
    </xf>
    <xf numFmtId="4" fontId="98" fillId="31" borderId="3" xfId="209" applyNumberFormat="1" applyFont="1" applyFill="1" applyBorder="1" applyAlignment="1">
      <alignment wrapText="1"/>
    </xf>
    <xf numFmtId="4" fontId="98" fillId="31" borderId="4" xfId="209" applyNumberFormat="1" applyFont="1" applyFill="1" applyBorder="1" applyAlignment="1">
      <alignment wrapText="1"/>
    </xf>
    <xf numFmtId="0" fontId="99" fillId="19" borderId="85" xfId="209" applyFont="1" applyFill="1" applyBorder="1" applyAlignment="1">
      <alignment vertical="top"/>
    </xf>
    <xf numFmtId="0" fontId="2" fillId="19" borderId="86" xfId="209" applyFill="1" applyBorder="1"/>
    <xf numFmtId="0" fontId="97" fillId="0" borderId="0" xfId="209" applyFont="1" applyAlignment="1">
      <alignment wrapText="1"/>
    </xf>
    <xf numFmtId="4" fontId="102" fillId="32" borderId="17" xfId="209" applyNumberFormat="1" applyFont="1" applyFill="1" applyBorder="1" applyAlignment="1">
      <alignment horizontal="center" wrapText="1"/>
    </xf>
    <xf numFmtId="4" fontId="102" fillId="32" borderId="44" xfId="209" applyNumberFormat="1" applyFont="1" applyFill="1" applyBorder="1" applyAlignment="1">
      <alignment horizontal="center" wrapText="1"/>
    </xf>
    <xf numFmtId="4" fontId="103" fillId="33" borderId="90" xfId="209" applyNumberFormat="1" applyFont="1" applyFill="1" applyBorder="1" applyAlignment="1">
      <alignment horizontal="center" wrapText="1"/>
    </xf>
    <xf numFmtId="0" fontId="2" fillId="19" borderId="91" xfId="209" applyFill="1" applyBorder="1"/>
    <xf numFmtId="0" fontId="81" fillId="19" borderId="87" xfId="209" applyFont="1" applyFill="1" applyBorder="1" applyAlignment="1">
      <alignment horizontal="center" vertical="center" wrapText="1"/>
    </xf>
    <xf numFmtId="0" fontId="81" fillId="19" borderId="92" xfId="209" applyFont="1" applyFill="1" applyBorder="1" applyAlignment="1">
      <alignment horizontal="center" vertical="center" wrapText="1"/>
    </xf>
    <xf numFmtId="0" fontId="2" fillId="19" borderId="0" xfId="209" applyFill="1"/>
    <xf numFmtId="0" fontId="82" fillId="20" borderId="92" xfId="209" applyFont="1" applyFill="1" applyBorder="1" applyAlignment="1">
      <alignment horizontal="left" vertical="center"/>
    </xf>
    <xf numFmtId="1" fontId="2" fillId="0" borderId="0" xfId="209" applyNumberFormat="1" applyAlignment="1">
      <alignment horizontal="center" vertical="center"/>
    </xf>
    <xf numFmtId="0" fontId="89" fillId="0" borderId="76" xfId="209" applyFont="1" applyBorder="1" applyAlignment="1">
      <alignment horizontal="center" vertical="center"/>
    </xf>
    <xf numFmtId="0" fontId="89" fillId="0" borderId="53" xfId="209" applyFont="1" applyBorder="1" applyAlignment="1">
      <alignment horizontal="center" vertical="center"/>
    </xf>
    <xf numFmtId="0" fontId="89" fillId="0" borderId="60" xfId="209" applyFont="1" applyBorder="1" applyAlignment="1">
      <alignment horizontal="center" vertical="center"/>
    </xf>
    <xf numFmtId="0" fontId="2" fillId="0" borderId="64" xfId="209" applyBorder="1"/>
    <xf numFmtId="0" fontId="80" fillId="0" borderId="65" xfId="209" applyFont="1" applyBorder="1" applyAlignment="1">
      <alignment horizontal="left" vertical="center"/>
    </xf>
    <xf numFmtId="0" fontId="2" fillId="0" borderId="65" xfId="209" applyBorder="1"/>
    <xf numFmtId="0" fontId="81" fillId="0" borderId="65" xfId="209" applyFont="1" applyBorder="1" applyAlignment="1">
      <alignment horizontal="right" vertical="center"/>
    </xf>
    <xf numFmtId="0" fontId="2" fillId="0" borderId="69" xfId="209" applyBorder="1"/>
    <xf numFmtId="0" fontId="83" fillId="0" borderId="69" xfId="209" applyFont="1" applyBorder="1" applyAlignment="1">
      <alignment horizontal="center" vertical="center"/>
    </xf>
    <xf numFmtId="0" fontId="84" fillId="0" borderId="0" xfId="209" applyFont="1" applyAlignment="1">
      <alignment horizontal="center" vertical="center"/>
    </xf>
    <xf numFmtId="0" fontId="85" fillId="0" borderId="0" xfId="209" applyFont="1"/>
    <xf numFmtId="0" fontId="2" fillId="0" borderId="71" xfId="209" applyBorder="1" applyAlignment="1">
      <alignment horizontal="center"/>
    </xf>
    <xf numFmtId="0" fontId="86" fillId="19" borderId="22" xfId="209" applyFont="1" applyFill="1" applyBorder="1" applyAlignment="1">
      <alignment horizontal="center" wrapText="1"/>
    </xf>
    <xf numFmtId="0" fontId="87" fillId="20" borderId="36" xfId="209" applyFont="1" applyFill="1" applyBorder="1" applyAlignment="1">
      <alignment horizontal="center" wrapText="1"/>
    </xf>
    <xf numFmtId="0" fontId="87" fillId="20" borderId="72" xfId="209" applyFont="1" applyFill="1" applyBorder="1" applyAlignment="1">
      <alignment horizontal="center"/>
    </xf>
    <xf numFmtId="0" fontId="87" fillId="20" borderId="72" xfId="209" applyFont="1" applyFill="1" applyBorder="1" applyAlignment="1">
      <alignment horizontal="center" wrapText="1"/>
    </xf>
    <xf numFmtId="0" fontId="88" fillId="20" borderId="72" xfId="209" applyFont="1" applyFill="1" applyBorder="1" applyAlignment="1">
      <alignment horizontal="center" wrapText="1"/>
    </xf>
    <xf numFmtId="0" fontId="87" fillId="20" borderId="73" xfId="209" applyFont="1" applyFill="1" applyBorder="1" applyAlignment="1">
      <alignment horizontal="center" wrapText="1"/>
    </xf>
    <xf numFmtId="0" fontId="89" fillId="20" borderId="73" xfId="209" applyFont="1" applyFill="1" applyBorder="1" applyAlignment="1">
      <alignment horizontal="center"/>
    </xf>
    <xf numFmtId="0" fontId="89" fillId="20" borderId="72" xfId="209" applyFont="1" applyFill="1" applyBorder="1" applyAlignment="1">
      <alignment horizontal="center" wrapText="1"/>
    </xf>
    <xf numFmtId="0" fontId="89" fillId="20" borderId="72" xfId="209" applyFont="1" applyFill="1" applyBorder="1" applyAlignment="1">
      <alignment horizontal="center"/>
    </xf>
    <xf numFmtId="0" fontId="89" fillId="20" borderId="54" xfId="209" applyFont="1" applyFill="1" applyBorder="1" applyAlignment="1">
      <alignment horizontal="center" wrapText="1"/>
    </xf>
    <xf numFmtId="0" fontId="90" fillId="0" borderId="0" xfId="209" applyFont="1" applyAlignment="1">
      <alignment horizontal="center" wrapText="1"/>
    </xf>
    <xf numFmtId="0" fontId="86" fillId="0" borderId="22" xfId="209" applyFont="1" applyBorder="1" applyAlignment="1">
      <alignment horizontal="center" wrapText="1"/>
    </xf>
    <xf numFmtId="0" fontId="2" fillId="29" borderId="75" xfId="209" applyFill="1" applyBorder="1"/>
    <xf numFmtId="164" fontId="65" fillId="18" borderId="3" xfId="101" quotePrefix="1" applyNumberFormat="1" applyFont="1" applyFill="1" applyBorder="1" applyAlignment="1" applyProtection="1"/>
    <xf numFmtId="164" fontId="65" fillId="18" borderId="3" xfId="101" applyNumberFormat="1" applyFont="1" applyFill="1" applyBorder="1" applyAlignment="1" applyProtection="1"/>
    <xf numFmtId="164" fontId="65" fillId="18" borderId="5" xfId="101" applyNumberFormat="1" applyFont="1" applyFill="1" applyBorder="1" applyAlignment="1" applyProtection="1"/>
    <xf numFmtId="10" fontId="12" fillId="5" borderId="1" xfId="83" applyNumberFormat="1" applyFont="1" applyFill="1" applyBorder="1" applyAlignment="1" applyProtection="1">
      <alignment horizontal="center" vertical="center"/>
      <protection locked="0"/>
    </xf>
    <xf numFmtId="10" fontId="12" fillId="15" borderId="1" xfId="83" applyNumberFormat="1" applyFont="1" applyFill="1" applyBorder="1" applyAlignment="1" applyProtection="1">
      <alignment horizontal="center" vertical="center"/>
      <protection locked="0"/>
    </xf>
    <xf numFmtId="10" fontId="16" fillId="0" borderId="0" xfId="83" applyNumberFormat="1" applyFont="1"/>
    <xf numFmtId="44" fontId="8" fillId="19" borderId="7" xfId="100" applyFont="1" applyFill="1" applyBorder="1" applyAlignment="1" applyProtection="1">
      <alignment vertical="center"/>
      <protection locked="0"/>
    </xf>
    <xf numFmtId="0" fontId="0" fillId="0" borderId="30" xfId="0" applyBorder="1" applyAlignment="1">
      <alignment vertical="center"/>
    </xf>
    <xf numFmtId="44" fontId="7" fillId="21" borderId="0" xfId="7" applyFont="1" applyFill="1" applyBorder="1" applyAlignment="1" applyProtection="1">
      <alignment horizontal="center" vertical="center"/>
    </xf>
    <xf numFmtId="9" fontId="7" fillId="21" borderId="0" xfId="83" applyFont="1" applyFill="1" applyBorder="1" applyAlignment="1" applyProtection="1">
      <alignment horizontal="center" vertical="center"/>
    </xf>
    <xf numFmtId="44" fontId="7" fillId="21" borderId="27" xfId="7" applyFont="1" applyFill="1" applyBorder="1" applyAlignment="1" applyProtection="1">
      <alignment horizontal="center" vertical="center"/>
    </xf>
    <xf numFmtId="9" fontId="7" fillId="21" borderId="25" xfId="83" applyFont="1" applyFill="1" applyBorder="1" applyAlignment="1" applyProtection="1">
      <alignment horizontal="center" vertical="center"/>
    </xf>
    <xf numFmtId="44" fontId="7" fillId="21" borderId="25" xfId="7" applyFont="1" applyFill="1" applyBorder="1" applyAlignment="1" applyProtection="1">
      <alignment horizontal="center" vertical="center"/>
    </xf>
    <xf numFmtId="9" fontId="7" fillId="21" borderId="27" xfId="83" applyFont="1" applyFill="1" applyBorder="1" applyAlignment="1" applyProtection="1">
      <alignment horizontal="center" vertical="center"/>
    </xf>
    <xf numFmtId="44" fontId="7" fillId="21" borderId="3" xfId="7" applyFont="1" applyFill="1" applyBorder="1" applyAlignment="1" applyProtection="1">
      <alignment horizontal="center" vertical="center"/>
    </xf>
    <xf numFmtId="9" fontId="7" fillId="21" borderId="26" xfId="83" applyFont="1" applyFill="1" applyBorder="1" applyAlignment="1" applyProtection="1">
      <alignment horizontal="center" vertical="center"/>
    </xf>
    <xf numFmtId="9" fontId="7" fillId="21" borderId="42" xfId="83" applyFont="1" applyFill="1" applyBorder="1" applyAlignment="1" applyProtection="1">
      <alignment horizontal="center" vertical="center"/>
    </xf>
    <xf numFmtId="9" fontId="7" fillId="21" borderId="29" xfId="83" applyFont="1" applyFill="1" applyBorder="1" applyAlignment="1" applyProtection="1">
      <alignment horizontal="center" vertical="center"/>
    </xf>
    <xf numFmtId="44" fontId="7" fillId="21" borderId="5" xfId="7" applyFont="1" applyFill="1" applyBorder="1" applyAlignment="1" applyProtection="1">
      <alignment horizontal="center" vertical="center"/>
    </xf>
    <xf numFmtId="44" fontId="7" fillId="21" borderId="26" xfId="7" applyFont="1" applyFill="1" applyBorder="1" applyAlignment="1" applyProtection="1">
      <alignment horizontal="center" vertical="center"/>
    </xf>
    <xf numFmtId="44" fontId="7" fillId="21" borderId="42" xfId="7" applyFont="1" applyFill="1" applyBorder="1" applyAlignment="1" applyProtection="1">
      <alignment horizontal="center" vertical="center"/>
    </xf>
    <xf numFmtId="44" fontId="7" fillId="21" borderId="29" xfId="7" applyFont="1" applyFill="1" applyBorder="1" applyAlignment="1" applyProtection="1">
      <alignment horizontal="center" vertical="center"/>
    </xf>
    <xf numFmtId="10" fontId="120" fillId="14" borderId="31" xfId="83" applyNumberFormat="1" applyFont="1" applyFill="1" applyBorder="1" applyAlignment="1" applyProtection="1">
      <alignment horizontal="center" vertical="center"/>
    </xf>
    <xf numFmtId="10" fontId="120" fillId="14" borderId="46" xfId="83" applyNumberFormat="1" applyFont="1" applyFill="1" applyBorder="1" applyAlignment="1" applyProtection="1">
      <alignment horizontal="center" vertical="center"/>
    </xf>
    <xf numFmtId="10" fontId="120" fillId="14" borderId="40" xfId="83" applyNumberFormat="1" applyFont="1" applyFill="1" applyBorder="1" applyAlignment="1" applyProtection="1">
      <alignment horizontal="center" vertical="center"/>
    </xf>
    <xf numFmtId="44" fontId="7" fillId="21" borderId="22" xfId="7" applyFont="1" applyFill="1" applyBorder="1" applyAlignment="1" applyProtection="1">
      <alignment horizontal="center" vertical="center"/>
    </xf>
    <xf numFmtId="44" fontId="7" fillId="21" borderId="31" xfId="7" applyFont="1" applyFill="1" applyBorder="1" applyAlignment="1" applyProtection="1">
      <alignment horizontal="center" vertical="center"/>
    </xf>
    <xf numFmtId="44" fontId="7" fillId="21" borderId="46" xfId="7" applyFont="1" applyFill="1" applyBorder="1" applyAlignment="1" applyProtection="1">
      <alignment horizontal="center" vertical="center"/>
    </xf>
    <xf numFmtId="44" fontId="7" fillId="21" borderId="40" xfId="7" applyFont="1" applyFill="1" applyBorder="1" applyAlignment="1" applyProtection="1">
      <alignment horizontal="center" vertical="center"/>
    </xf>
    <xf numFmtId="7" fontId="0" fillId="0" borderId="0" xfId="0" applyNumberFormat="1" applyAlignment="1">
      <alignment horizontal="center" vertical="center"/>
    </xf>
    <xf numFmtId="0" fontId="12" fillId="0" borderId="26" xfId="0" applyFont="1" applyBorder="1" applyAlignment="1">
      <alignment vertical="center"/>
    </xf>
    <xf numFmtId="0" fontId="12" fillId="0" borderId="42" xfId="0" applyFont="1" applyBorder="1" applyAlignment="1">
      <alignment vertical="center"/>
    </xf>
    <xf numFmtId="7" fontId="0" fillId="0" borderId="0" xfId="0" applyNumberFormat="1" applyAlignment="1">
      <alignment vertical="center"/>
    </xf>
    <xf numFmtId="0" fontId="12" fillId="0" borderId="29" xfId="0" applyFont="1" applyBorder="1" applyAlignment="1">
      <alignment vertical="center"/>
    </xf>
    <xf numFmtId="0" fontId="12" fillId="0" borderId="5" xfId="0" applyFont="1" applyBorder="1" applyAlignment="1">
      <alignment vertical="center"/>
    </xf>
    <xf numFmtId="0" fontId="0" fillId="0" borderId="42" xfId="0" applyBorder="1" applyAlignment="1">
      <alignment vertical="center"/>
    </xf>
    <xf numFmtId="44" fontId="0" fillId="0" borderId="0" xfId="0" applyNumberFormat="1" applyAlignment="1">
      <alignment horizontal="center" vertical="center"/>
    </xf>
    <xf numFmtId="44" fontId="0" fillId="0" borderId="43" xfId="0" applyNumberFormat="1" applyBorder="1" applyAlignment="1">
      <alignment horizontal="center" vertical="center"/>
    </xf>
    <xf numFmtId="0" fontId="40" fillId="0" borderId="0" xfId="0" applyFont="1" applyAlignment="1">
      <alignment vertical="center"/>
    </xf>
    <xf numFmtId="0" fontId="68" fillId="0" borderId="0" xfId="0" applyFont="1" applyAlignment="1">
      <alignment vertical="center"/>
    </xf>
    <xf numFmtId="0" fontId="10" fillId="11" borderId="1" xfId="0" applyFont="1" applyFill="1" applyBorder="1" applyAlignment="1">
      <alignment horizontal="center" vertical="center"/>
    </xf>
    <xf numFmtId="0" fontId="10" fillId="5" borderId="1" xfId="0" applyFont="1" applyFill="1" applyBorder="1" applyAlignment="1">
      <alignment vertical="center"/>
    </xf>
    <xf numFmtId="168" fontId="10" fillId="12" borderId="1" xfId="0" applyNumberFormat="1" applyFont="1" applyFill="1" applyBorder="1" applyAlignment="1">
      <alignment horizontal="left" vertical="center"/>
    </xf>
    <xf numFmtId="0" fontId="10" fillId="11" borderId="1" xfId="0" applyFont="1" applyFill="1" applyBorder="1" applyAlignment="1">
      <alignment vertical="center"/>
    </xf>
    <xf numFmtId="10" fontId="0" fillId="0" borderId="0" xfId="0" applyNumberFormat="1" applyAlignment="1">
      <alignment vertical="center"/>
    </xf>
    <xf numFmtId="9" fontId="0" fillId="0" borderId="0" xfId="0" applyNumberFormat="1" applyAlignment="1">
      <alignment vertical="center"/>
    </xf>
    <xf numFmtId="0" fontId="6" fillId="18" borderId="5" xfId="0" applyFont="1" applyFill="1" applyBorder="1" applyAlignment="1">
      <alignment horizontal="center" vertical="center" wrapText="1"/>
    </xf>
    <xf numFmtId="0" fontId="7" fillId="18" borderId="22" xfId="0" applyFont="1" applyFill="1" applyBorder="1" applyAlignment="1">
      <alignment horizontal="center" vertical="center" wrapText="1"/>
    </xf>
    <xf numFmtId="0" fontId="6" fillId="18" borderId="22" xfId="0" applyFont="1" applyFill="1" applyBorder="1" applyAlignment="1">
      <alignment horizontal="center" vertical="center" wrapText="1"/>
    </xf>
    <xf numFmtId="0" fontId="5" fillId="0" borderId="17" xfId="0" applyFont="1" applyBorder="1"/>
    <xf numFmtId="44" fontId="12" fillId="0" borderId="32" xfId="0" applyNumberFormat="1" applyFont="1" applyBorder="1" applyAlignment="1">
      <alignment horizontal="center"/>
    </xf>
    <xf numFmtId="0" fontId="5" fillId="0" borderId="19" xfId="0" applyFont="1" applyBorder="1"/>
    <xf numFmtId="44" fontId="12" fillId="0" borderId="1" xfId="0" applyNumberFormat="1" applyFont="1" applyBorder="1" applyAlignment="1">
      <alignment horizontal="center"/>
    </xf>
    <xf numFmtId="0" fontId="5" fillId="0" borderId="23" xfId="0" applyFont="1" applyBorder="1"/>
    <xf numFmtId="44" fontId="12" fillId="0" borderId="33" xfId="0" applyNumberFormat="1" applyFont="1" applyBorder="1" applyAlignment="1">
      <alignment horizontal="center"/>
    </xf>
    <xf numFmtId="0" fontId="66" fillId="0" borderId="42" xfId="0" applyFont="1" applyBorder="1" applyAlignment="1">
      <alignment horizontal="left" vertical="center" wrapText="1"/>
    </xf>
    <xf numFmtId="44" fontId="7" fillId="0" borderId="40" xfId="0" applyNumberFormat="1" applyFont="1" applyBorder="1" applyAlignment="1">
      <alignment horizontal="left" vertical="center" wrapText="1"/>
    </xf>
    <xf numFmtId="0" fontId="5" fillId="0" borderId="0" xfId="0" applyFont="1" applyAlignment="1">
      <alignment horizontal="left"/>
    </xf>
    <xf numFmtId="0" fontId="8" fillId="0" borderId="0" xfId="0" applyFont="1"/>
    <xf numFmtId="0" fontId="5" fillId="0" borderId="17" xfId="0" applyFont="1" applyBorder="1" applyAlignment="1">
      <alignment wrapText="1"/>
    </xf>
    <xf numFmtId="0" fontId="5" fillId="0" borderId="57" xfId="0" applyFont="1" applyBorder="1"/>
    <xf numFmtId="0" fontId="5" fillId="0" borderId="42" xfId="0" applyFont="1" applyBorder="1"/>
    <xf numFmtId="44" fontId="7" fillId="6" borderId="22" xfId="0" applyNumberFormat="1" applyFont="1" applyFill="1" applyBorder="1" applyAlignment="1">
      <alignment horizontal="center"/>
    </xf>
    <xf numFmtId="0" fontId="5" fillId="3" borderId="0" xfId="0" applyFont="1" applyFill="1" applyAlignment="1">
      <alignment horizontal="center" vertical="center"/>
    </xf>
    <xf numFmtId="44" fontId="15" fillId="18" borderId="22" xfId="7" applyFont="1" applyFill="1" applyBorder="1" applyAlignment="1" applyProtection="1">
      <alignment horizontal="center" vertical="center" wrapText="1"/>
    </xf>
    <xf numFmtId="0" fontId="5" fillId="0" borderId="17" xfId="0" applyFont="1" applyBorder="1" applyAlignment="1">
      <alignment horizontal="left"/>
    </xf>
    <xf numFmtId="44" fontId="12" fillId="0" borderId="32" xfId="0" applyNumberFormat="1" applyFont="1" applyBorder="1" applyAlignment="1">
      <alignment horizontal="left"/>
    </xf>
    <xf numFmtId="0" fontId="0" fillId="0" borderId="0" xfId="0" applyAlignment="1">
      <alignment horizontal="left"/>
    </xf>
    <xf numFmtId="0" fontId="5" fillId="0" borderId="19" xfId="0" applyFont="1" applyBorder="1" applyAlignment="1">
      <alignment horizontal="left"/>
    </xf>
    <xf numFmtId="44" fontId="12" fillId="0" borderId="1" xfId="0" applyNumberFormat="1" applyFont="1" applyBorder="1" applyAlignment="1">
      <alignment horizontal="left"/>
    </xf>
    <xf numFmtId="0" fontId="7" fillId="0" borderId="0" xfId="0" applyFont="1" applyAlignment="1">
      <alignment wrapText="1"/>
    </xf>
    <xf numFmtId="44" fontId="7" fillId="0" borderId="32" xfId="0" applyNumberFormat="1" applyFont="1" applyBorder="1" applyAlignment="1">
      <alignment horizontal="center"/>
    </xf>
    <xf numFmtId="44" fontId="7" fillId="0" borderId="1" xfId="0" applyNumberFormat="1" applyFont="1" applyBorder="1" applyAlignment="1">
      <alignment horizontal="center"/>
    </xf>
    <xf numFmtId="44" fontId="7" fillId="0" borderId="33" xfId="0" applyNumberFormat="1" applyFont="1" applyBorder="1" applyAlignment="1">
      <alignment horizontal="center"/>
    </xf>
    <xf numFmtId="0" fontId="5" fillId="0" borderId="38" xfId="0" applyFont="1" applyBorder="1"/>
    <xf numFmtId="44" fontId="7" fillId="6" borderId="40" xfId="0" applyNumberFormat="1" applyFont="1" applyFill="1" applyBorder="1" applyAlignment="1">
      <alignment horizontal="center"/>
    </xf>
    <xf numFmtId="0" fontId="122" fillId="0" borderId="22" xfId="0" applyFont="1" applyBorder="1" applyAlignment="1">
      <alignment vertical="center" wrapText="1"/>
    </xf>
    <xf numFmtId="44" fontId="44" fillId="0" borderId="0" xfId="0" applyNumberFormat="1" applyFont="1"/>
    <xf numFmtId="44" fontId="7" fillId="0" borderId="22" xfId="0" applyNumberFormat="1" applyFont="1" applyBorder="1"/>
    <xf numFmtId="0" fontId="123" fillId="20" borderId="22" xfId="0" applyFont="1" applyFill="1" applyBorder="1" applyAlignment="1">
      <alignment horizontal="center" vertical="center" wrapText="1"/>
    </xf>
    <xf numFmtId="44" fontId="10" fillId="6" borderId="22" xfId="7" applyFont="1" applyFill="1" applyBorder="1" applyAlignment="1" applyProtection="1">
      <alignment horizontal="right"/>
    </xf>
    <xf numFmtId="44" fontId="10" fillId="6" borderId="40" xfId="7" applyFont="1" applyFill="1" applyBorder="1" applyAlignment="1" applyProtection="1">
      <alignment horizontal="right"/>
    </xf>
    <xf numFmtId="0" fontId="66" fillId="0" borderId="0" xfId="0" applyFont="1" applyAlignment="1">
      <alignment horizontal="left" vertical="center" wrapText="1"/>
    </xf>
    <xf numFmtId="0" fontId="63" fillId="0" borderId="0" xfId="0" applyFont="1" applyAlignment="1">
      <alignment horizontal="left" vertical="center" wrapText="1"/>
    </xf>
    <xf numFmtId="0" fontId="25" fillId="0" borderId="0" xfId="0" applyFont="1" applyAlignment="1">
      <alignment horizontal="left" vertical="center" wrapText="1"/>
    </xf>
    <xf numFmtId="0" fontId="7" fillId="0" borderId="0" xfId="0" applyFont="1" applyAlignment="1">
      <alignment horizontal="right" vertical="center" wrapText="1"/>
    </xf>
    <xf numFmtId="0" fontId="0" fillId="0" borderId="43" xfId="0" applyBorder="1"/>
    <xf numFmtId="0" fontId="63" fillId="0" borderId="0" xfId="0" applyFont="1" applyAlignment="1">
      <alignment vertical="center" wrapText="1"/>
    </xf>
    <xf numFmtId="0" fontId="25" fillId="0" borderId="0" xfId="0" applyFont="1" applyAlignment="1">
      <alignment vertical="center" wrapText="1"/>
    </xf>
    <xf numFmtId="0" fontId="63" fillId="0" borderId="43" xfId="0" applyFont="1" applyBorder="1" applyAlignment="1">
      <alignment vertical="center" wrapText="1"/>
    </xf>
    <xf numFmtId="0" fontId="5" fillId="0" borderId="29" xfId="0" applyFont="1" applyBorder="1"/>
    <xf numFmtId="0" fontId="5" fillId="0" borderId="25" xfId="0" applyFont="1" applyBorder="1"/>
    <xf numFmtId="0" fontId="0" fillId="0" borderId="25" xfId="0" applyBorder="1"/>
    <xf numFmtId="0" fontId="5" fillId="0" borderId="26" xfId="0" applyFont="1" applyBorder="1"/>
    <xf numFmtId="0" fontId="5" fillId="0" borderId="27" xfId="0" applyFont="1" applyBorder="1"/>
    <xf numFmtId="0" fontId="0" fillId="0" borderId="28" xfId="0" applyBorder="1" applyAlignment="1">
      <alignment horizontal="center" vertical="center"/>
    </xf>
    <xf numFmtId="165" fontId="60" fillId="18" borderId="4" xfId="0" applyNumberFormat="1" applyFont="1" applyFill="1" applyBorder="1" applyAlignment="1">
      <alignment horizontal="center" vertical="center"/>
    </xf>
    <xf numFmtId="0" fontId="5" fillId="0" borderId="5" xfId="0" applyFont="1" applyBorder="1"/>
    <xf numFmtId="0" fontId="5" fillId="0" borderId="3" xfId="0" applyFont="1" applyBorder="1"/>
    <xf numFmtId="0" fontId="0" fillId="0" borderId="4" xfId="0" applyBorder="1" applyAlignment="1">
      <alignment horizontal="center" vertical="center"/>
    </xf>
    <xf numFmtId="0" fontId="90" fillId="20" borderId="74" xfId="209" applyFont="1" applyFill="1" applyBorder="1" applyAlignment="1" applyProtection="1">
      <alignment horizontal="center" wrapText="1"/>
      <protection locked="0"/>
    </xf>
    <xf numFmtId="44" fontId="16" fillId="0" borderId="0" xfId="7" applyFont="1" applyAlignment="1">
      <alignment horizontal="center" vertical="center"/>
    </xf>
    <xf numFmtId="44" fontId="16" fillId="0" borderId="0" xfId="7" applyFont="1"/>
    <xf numFmtId="44" fontId="16" fillId="0" borderId="0" xfId="7" applyFont="1" applyAlignment="1">
      <alignment horizontal="left" vertical="center"/>
    </xf>
    <xf numFmtId="44" fontId="126" fillId="34" borderId="2" xfId="7" applyFont="1" applyFill="1" applyBorder="1" applyAlignment="1">
      <alignment vertical="top"/>
    </xf>
    <xf numFmtId="44" fontId="127" fillId="34" borderId="2" xfId="7" applyFont="1" applyFill="1" applyBorder="1" applyAlignment="1">
      <alignment horizontal="center" vertical="center" wrapText="1"/>
    </xf>
    <xf numFmtId="44" fontId="125" fillId="34" borderId="2" xfId="7" applyFont="1" applyFill="1" applyBorder="1" applyAlignment="1">
      <alignment vertical="center"/>
    </xf>
    <xf numFmtId="44" fontId="128" fillId="34" borderId="0" xfId="7" applyFont="1" applyFill="1" applyAlignment="1">
      <alignment horizontal="left" vertical="center"/>
    </xf>
    <xf numFmtId="172" fontId="10" fillId="11" borderId="1" xfId="0" applyNumberFormat="1" applyFont="1" applyFill="1" applyBorder="1" applyAlignment="1">
      <alignment horizontal="center" vertical="center"/>
    </xf>
    <xf numFmtId="1" fontId="129" fillId="35" borderId="1" xfId="0" applyNumberFormat="1" applyFont="1" applyFill="1" applyBorder="1" applyAlignment="1" applyProtection="1">
      <alignment horizontal="center" vertical="center"/>
      <protection locked="0"/>
    </xf>
    <xf numFmtId="8" fontId="129" fillId="35" borderId="1" xfId="0" applyNumberFormat="1" applyFont="1" applyFill="1" applyBorder="1" applyAlignment="1" applyProtection="1">
      <alignment horizontal="center" vertical="center"/>
      <protection locked="0"/>
    </xf>
    <xf numFmtId="10" fontId="129" fillId="35" borderId="1" xfId="83" applyNumberFormat="1" applyFont="1" applyFill="1" applyBorder="1" applyAlignment="1" applyProtection="1">
      <alignment horizontal="center" vertical="center"/>
    </xf>
    <xf numFmtId="177" fontId="16" fillId="11" borderId="12" xfId="0" applyNumberFormat="1" applyFont="1" applyFill="1" applyBorder="1" applyAlignment="1">
      <alignment horizontal="left" vertical="center"/>
    </xf>
    <xf numFmtId="177" fontId="18" fillId="0" borderId="1" xfId="0" applyNumberFormat="1" applyFont="1" applyBorder="1" applyAlignment="1" applyProtection="1">
      <alignment horizontal="center" vertical="center"/>
      <protection locked="0"/>
    </xf>
    <xf numFmtId="177" fontId="16" fillId="11" borderId="9" xfId="0" applyNumberFormat="1" applyFont="1" applyFill="1" applyBorder="1" applyAlignment="1">
      <alignment horizontal="left" vertical="center"/>
    </xf>
    <xf numFmtId="0" fontId="5" fillId="0" borderId="16" xfId="0" applyFont="1" applyBorder="1" applyAlignment="1" applyProtection="1">
      <alignment horizontal="center"/>
      <protection locked="0"/>
    </xf>
    <xf numFmtId="0" fontId="5" fillId="0" borderId="7" xfId="0" applyFont="1" applyBorder="1" applyAlignment="1" applyProtection="1">
      <alignment horizontal="center"/>
      <protection locked="0"/>
    </xf>
    <xf numFmtId="8" fontId="5" fillId="0" borderId="7" xfId="0" applyNumberFormat="1" applyFont="1" applyBorder="1" applyAlignment="1" applyProtection="1">
      <alignment horizontal="center"/>
      <protection locked="0"/>
    </xf>
    <xf numFmtId="0" fontId="5" fillId="0" borderId="11" xfId="0" applyFont="1" applyBorder="1" applyAlignment="1" applyProtection="1">
      <alignment horizontal="center"/>
      <protection locked="0"/>
    </xf>
    <xf numFmtId="0" fontId="5" fillId="0" borderId="10" xfId="0" applyFont="1" applyBorder="1" applyAlignment="1" applyProtection="1">
      <alignment horizontal="center"/>
      <protection locked="0"/>
    </xf>
    <xf numFmtId="0" fontId="5" fillId="0" borderId="1" xfId="0" applyFont="1" applyBorder="1" applyAlignment="1" applyProtection="1">
      <alignment horizontal="center"/>
      <protection locked="0"/>
    </xf>
    <xf numFmtId="0" fontId="5" fillId="0" borderId="8" xfId="0" applyFont="1" applyBorder="1" applyAlignment="1" applyProtection="1">
      <alignment horizontal="center"/>
      <protection locked="0"/>
    </xf>
    <xf numFmtId="8" fontId="5" fillId="0" borderId="10" xfId="0" applyNumberFormat="1" applyFont="1" applyBorder="1" applyAlignment="1" applyProtection="1">
      <alignment horizontal="center"/>
      <protection locked="0"/>
    </xf>
    <xf numFmtId="8" fontId="5" fillId="0" borderId="1" xfId="0" applyNumberFormat="1" applyFont="1" applyBorder="1" applyAlignment="1" applyProtection="1">
      <alignment horizontal="center"/>
      <protection locked="0"/>
    </xf>
    <xf numFmtId="0" fontId="39" fillId="0" borderId="15" xfId="0" applyFont="1" applyBorder="1" applyAlignment="1" applyProtection="1">
      <alignment horizontal="center"/>
      <protection locked="0"/>
    </xf>
    <xf numFmtId="178" fontId="39" fillId="0" borderId="15" xfId="0" applyNumberFormat="1" applyFont="1" applyBorder="1" applyAlignment="1" applyProtection="1">
      <alignment horizontal="center"/>
      <protection locked="0"/>
    </xf>
    <xf numFmtId="44" fontId="7" fillId="21" borderId="3" xfId="7" applyFont="1" applyFill="1" applyBorder="1" applyAlignment="1" applyProtection="1">
      <alignment horizontal="center" vertical="center"/>
      <protection locked="0"/>
    </xf>
    <xf numFmtId="0" fontId="20" fillId="11" borderId="8" xfId="0" applyFont="1" applyFill="1" applyBorder="1" applyAlignment="1" applyProtection="1">
      <alignment horizontal="right" vertical="center"/>
      <protection locked="0"/>
    </xf>
    <xf numFmtId="44" fontId="18" fillId="3" borderId="1" xfId="0" applyNumberFormat="1" applyFont="1" applyFill="1" applyBorder="1" applyAlignment="1" applyProtection="1">
      <alignment horizontal="center" vertical="center"/>
      <protection locked="0"/>
    </xf>
    <xf numFmtId="44" fontId="16" fillId="0" borderId="1" xfId="0" applyNumberFormat="1" applyFont="1" applyFill="1" applyBorder="1" applyAlignment="1" applyProtection="1">
      <alignment horizontal="center" vertical="center"/>
      <protection locked="0"/>
    </xf>
    <xf numFmtId="0" fontId="16" fillId="0" borderId="0" xfId="0" applyFont="1" applyFill="1" applyAlignment="1" applyProtection="1">
      <alignment horizontal="center" vertical="center"/>
      <protection locked="0"/>
    </xf>
    <xf numFmtId="1" fontId="18" fillId="7" borderId="1" xfId="0" applyNumberFormat="1" applyFont="1" applyFill="1" applyBorder="1" applyAlignment="1" applyProtection="1">
      <alignment horizontal="center" vertical="center"/>
      <protection locked="0"/>
    </xf>
    <xf numFmtId="44" fontId="16" fillId="36" borderId="1" xfId="0" applyNumberFormat="1" applyFont="1" applyFill="1" applyBorder="1" applyAlignment="1" applyProtection="1">
      <alignment horizontal="center" vertical="center"/>
      <protection locked="0"/>
    </xf>
    <xf numFmtId="0" fontId="118" fillId="25" borderId="5" xfId="0" applyFont="1" applyFill="1" applyBorder="1" applyAlignment="1" applyProtection="1">
      <alignment horizontal="center" vertical="center"/>
      <protection locked="0"/>
    </xf>
    <xf numFmtId="0" fontId="118" fillId="25" borderId="3" xfId="0" applyFont="1" applyFill="1" applyBorder="1" applyAlignment="1" applyProtection="1">
      <alignment horizontal="center" vertical="center"/>
      <protection locked="0"/>
    </xf>
    <xf numFmtId="0" fontId="118" fillId="25" borderId="4" xfId="0" applyFont="1" applyFill="1" applyBorder="1" applyAlignment="1" applyProtection="1">
      <alignment horizontal="center" vertical="center"/>
      <protection locked="0"/>
    </xf>
    <xf numFmtId="169" fontId="117" fillId="25" borderId="5" xfId="0" applyNumberFormat="1" applyFont="1" applyFill="1" applyBorder="1" applyAlignment="1" applyProtection="1">
      <alignment horizontal="center" vertical="center"/>
      <protection locked="0"/>
    </xf>
    <xf numFmtId="169" fontId="117" fillId="25" borderId="3" xfId="0" applyNumberFormat="1" applyFont="1" applyFill="1" applyBorder="1" applyAlignment="1" applyProtection="1">
      <alignment horizontal="center" vertical="center"/>
      <protection locked="0"/>
    </xf>
    <xf numFmtId="169" fontId="117" fillId="25" borderId="4" xfId="0" applyNumberFormat="1" applyFont="1" applyFill="1" applyBorder="1" applyAlignment="1" applyProtection="1">
      <alignment horizontal="center" vertical="center"/>
      <protection locked="0"/>
    </xf>
    <xf numFmtId="0" fontId="121" fillId="0" borderId="3" xfId="0" applyFont="1" applyBorder="1" applyAlignment="1">
      <alignment horizontal="center" vertical="center"/>
    </xf>
    <xf numFmtId="0" fontId="5" fillId="0" borderId="26" xfId="0" applyFont="1" applyBorder="1" applyAlignment="1">
      <alignment horizontal="left" vertical="top" wrapText="1"/>
    </xf>
    <xf numFmtId="0" fontId="5" fillId="0" borderId="27" xfId="0" applyFont="1" applyBorder="1" applyAlignment="1">
      <alignment horizontal="left" vertical="top" wrapText="1"/>
    </xf>
    <xf numFmtId="0" fontId="5" fillId="0" borderId="28" xfId="0" applyFont="1" applyBorder="1" applyAlignment="1">
      <alignment horizontal="left" vertical="top" wrapText="1"/>
    </xf>
    <xf numFmtId="0" fontId="5" fillId="0" borderId="29" xfId="0" applyFont="1" applyBorder="1" applyAlignment="1">
      <alignment horizontal="left" vertical="top" wrapText="1"/>
    </xf>
    <xf numFmtId="0" fontId="5" fillId="0" borderId="25" xfId="0" applyFont="1" applyBorder="1" applyAlignment="1">
      <alignment horizontal="left" vertical="top" wrapText="1"/>
    </xf>
    <xf numFmtId="0" fontId="5" fillId="0" borderId="30" xfId="0" applyFont="1" applyBorder="1" applyAlignment="1">
      <alignment horizontal="left" vertical="top" wrapText="1"/>
    </xf>
    <xf numFmtId="0" fontId="5" fillId="0" borderId="26" xfId="0" applyFont="1" applyBorder="1" applyAlignment="1">
      <alignment horizontal="left" vertical="center" wrapText="1"/>
    </xf>
    <xf numFmtId="0" fontId="5" fillId="0" borderId="27" xfId="0" applyFont="1" applyBorder="1" applyAlignment="1">
      <alignment horizontal="left" vertical="center" wrapText="1"/>
    </xf>
    <xf numFmtId="0" fontId="5" fillId="0" borderId="28" xfId="0" applyFont="1" applyBorder="1" applyAlignment="1">
      <alignment horizontal="left" vertical="center" wrapText="1"/>
    </xf>
    <xf numFmtId="0" fontId="5" fillId="0" borderId="29" xfId="0" applyFont="1" applyBorder="1" applyAlignment="1">
      <alignment horizontal="left" vertical="center" wrapText="1"/>
    </xf>
    <xf numFmtId="0" fontId="5" fillId="0" borderId="25" xfId="0" applyFont="1" applyBorder="1" applyAlignment="1">
      <alignment horizontal="left" vertical="center" wrapText="1"/>
    </xf>
    <xf numFmtId="0" fontId="5" fillId="0" borderId="30" xfId="0" applyFont="1" applyBorder="1" applyAlignment="1">
      <alignment horizontal="left" vertical="center" wrapText="1"/>
    </xf>
    <xf numFmtId="0" fontId="5" fillId="0" borderId="5" xfId="0" applyFont="1" applyBorder="1" applyAlignment="1">
      <alignment horizontal="left" vertical="top" wrapText="1"/>
    </xf>
    <xf numFmtId="0" fontId="5" fillId="0" borderId="3" xfId="0" applyFont="1" applyBorder="1" applyAlignment="1">
      <alignment horizontal="left" vertical="top" wrapText="1"/>
    </xf>
    <xf numFmtId="0" fontId="5" fillId="0" borderId="4" xfId="0" applyFont="1" applyBorder="1" applyAlignment="1">
      <alignment horizontal="left" vertical="top" wrapText="1"/>
    </xf>
    <xf numFmtId="164" fontId="115" fillId="18" borderId="9" xfId="101" applyNumberFormat="1" applyFont="1" applyFill="1" applyBorder="1" applyAlignment="1" applyProtection="1">
      <alignment horizontal="left" vertical="center"/>
    </xf>
    <xf numFmtId="171" fontId="23" fillId="18" borderId="9" xfId="101" applyNumberFormat="1" applyFont="1" applyFill="1" applyBorder="1" applyAlignment="1" applyProtection="1">
      <alignment horizontal="center" vertical="center"/>
    </xf>
    <xf numFmtId="171" fontId="23" fillId="18" borderId="10" xfId="101" applyNumberFormat="1" applyFont="1" applyFill="1" applyBorder="1" applyAlignment="1" applyProtection="1">
      <alignment horizontal="center" vertical="center"/>
    </xf>
    <xf numFmtId="0" fontId="75" fillId="0" borderId="26" xfId="0" applyFont="1" applyBorder="1" applyAlignment="1">
      <alignment horizontal="center" vertical="center"/>
    </xf>
    <xf numFmtId="0" fontId="75" fillId="0" borderId="27" xfId="0" applyFont="1" applyBorder="1" applyAlignment="1">
      <alignment horizontal="center" vertical="center"/>
    </xf>
    <xf numFmtId="0" fontId="75" fillId="0" borderId="28" xfId="0" applyFont="1" applyBorder="1" applyAlignment="1">
      <alignment horizontal="center" vertical="center"/>
    </xf>
    <xf numFmtId="165" fontId="59" fillId="0" borderId="13" xfId="0" applyNumberFormat="1" applyFont="1" applyBorder="1" applyAlignment="1">
      <alignment horizontal="center" vertical="center" wrapText="1"/>
    </xf>
    <xf numFmtId="165" fontId="59" fillId="0" borderId="15" xfId="0" applyNumberFormat="1" applyFont="1" applyBorder="1" applyAlignment="1">
      <alignment horizontal="center" vertical="center" wrapText="1"/>
    </xf>
    <xf numFmtId="165" fontId="59" fillId="0" borderId="11" xfId="0" applyNumberFormat="1" applyFont="1" applyBorder="1" applyAlignment="1">
      <alignment horizontal="center" vertical="center" wrapText="1"/>
    </xf>
    <xf numFmtId="165" fontId="59" fillId="0" borderId="16" xfId="0" applyNumberFormat="1" applyFont="1" applyBorder="1" applyAlignment="1">
      <alignment horizontal="center" vertical="center" wrapText="1"/>
    </xf>
    <xf numFmtId="44" fontId="69" fillId="18" borderId="6" xfId="0" applyNumberFormat="1" applyFont="1" applyFill="1" applyBorder="1" applyAlignment="1">
      <alignment horizontal="center" vertical="center"/>
    </xf>
    <xf numFmtId="44" fontId="69" fillId="18" borderId="7" xfId="0" applyNumberFormat="1" applyFont="1" applyFill="1" applyBorder="1" applyAlignment="1">
      <alignment horizontal="center" vertical="center"/>
    </xf>
    <xf numFmtId="168" fontId="5" fillId="0" borderId="0" xfId="0" applyNumberFormat="1" applyFont="1" applyAlignment="1">
      <alignment horizontal="right" vertical="center"/>
    </xf>
    <xf numFmtId="0" fontId="5" fillId="0" borderId="0" xfId="0" applyFont="1" applyAlignment="1">
      <alignment horizontal="left" vertical="center"/>
    </xf>
    <xf numFmtId="14" fontId="21" fillId="16" borderId="27" xfId="0" applyNumberFormat="1" applyFont="1" applyFill="1" applyBorder="1" applyAlignment="1" applyProtection="1">
      <alignment horizontal="left" vertical="center"/>
      <protection locked="0"/>
    </xf>
    <xf numFmtId="14" fontId="21" fillId="16" borderId="28" xfId="0" applyNumberFormat="1" applyFont="1" applyFill="1" applyBorder="1" applyAlignment="1" applyProtection="1">
      <alignment horizontal="left" vertical="center"/>
      <protection locked="0"/>
    </xf>
    <xf numFmtId="14" fontId="21" fillId="16" borderId="25" xfId="0" applyNumberFormat="1" applyFont="1" applyFill="1" applyBorder="1" applyAlignment="1" applyProtection="1">
      <alignment horizontal="left" vertical="center"/>
      <protection locked="0"/>
    </xf>
    <xf numFmtId="14" fontId="21" fillId="16" borderId="30" xfId="0" applyNumberFormat="1" applyFont="1" applyFill="1" applyBorder="1" applyAlignment="1" applyProtection="1">
      <alignment horizontal="left" vertical="center"/>
      <protection locked="0"/>
    </xf>
    <xf numFmtId="0" fontId="15" fillId="0" borderId="26" xfId="0" applyFont="1" applyBorder="1" applyAlignment="1">
      <alignment horizontal="right" vertical="center"/>
    </xf>
    <xf numFmtId="0" fontId="15" fillId="0" borderId="27" xfId="0" applyFont="1" applyBorder="1" applyAlignment="1">
      <alignment horizontal="right" vertical="center"/>
    </xf>
    <xf numFmtId="0" fontId="15" fillId="0" borderId="29" xfId="0" applyFont="1" applyBorder="1" applyAlignment="1">
      <alignment horizontal="right" vertical="center"/>
    </xf>
    <xf numFmtId="0" fontId="15" fillId="0" borderId="25" xfId="0" applyFont="1" applyBorder="1" applyAlignment="1">
      <alignment horizontal="right" vertical="center"/>
    </xf>
    <xf numFmtId="168" fontId="5" fillId="0" borderId="25" xfId="0" applyNumberFormat="1" applyFont="1" applyBorder="1" applyAlignment="1">
      <alignment horizontal="right" vertical="center"/>
    </xf>
    <xf numFmtId="0" fontId="5" fillId="0" borderId="25" xfId="0" applyFont="1" applyBorder="1" applyAlignment="1">
      <alignment horizontal="left" vertical="center"/>
    </xf>
    <xf numFmtId="168" fontId="5" fillId="0" borderId="25" xfId="0" applyNumberFormat="1" applyFont="1" applyBorder="1" applyAlignment="1">
      <alignment horizontal="center" vertical="center"/>
    </xf>
    <xf numFmtId="176" fontId="86" fillId="20" borderId="87" xfId="209" applyNumberFormat="1" applyFont="1" applyFill="1" applyBorder="1" applyAlignment="1">
      <alignment horizontal="center" vertical="center"/>
    </xf>
    <xf numFmtId="176" fontId="86" fillId="20" borderId="89" xfId="209" applyNumberFormat="1" applyFont="1" applyFill="1" applyBorder="1" applyAlignment="1">
      <alignment horizontal="center" vertical="center"/>
    </xf>
    <xf numFmtId="0" fontId="86" fillId="19" borderId="66" xfId="209" applyFont="1" applyFill="1" applyBorder="1" applyAlignment="1">
      <alignment horizontal="center" vertical="center"/>
    </xf>
    <xf numFmtId="0" fontId="86" fillId="19" borderId="67" xfId="209" applyFont="1" applyFill="1" applyBorder="1" applyAlignment="1">
      <alignment horizontal="center" vertical="center"/>
    </xf>
    <xf numFmtId="0" fontId="86" fillId="19" borderId="68" xfId="209" applyFont="1" applyFill="1" applyBorder="1" applyAlignment="1">
      <alignment horizontal="center" vertical="center"/>
    </xf>
    <xf numFmtId="174" fontId="116" fillId="19" borderId="66" xfId="209" applyNumberFormat="1" applyFont="1" applyFill="1" applyBorder="1" applyAlignment="1">
      <alignment horizontal="center" vertical="center"/>
    </xf>
    <xf numFmtId="174" fontId="116" fillId="19" borderId="70" xfId="209" applyNumberFormat="1" applyFont="1" applyFill="1" applyBorder="1" applyAlignment="1">
      <alignment horizontal="center" vertical="center"/>
    </xf>
    <xf numFmtId="0" fontId="100" fillId="19" borderId="87" xfId="209" applyFont="1" applyFill="1" applyBorder="1" applyAlignment="1">
      <alignment horizontal="center" vertical="center" wrapText="1"/>
    </xf>
    <xf numFmtId="0" fontId="100" fillId="19" borderId="88" xfId="209" applyFont="1" applyFill="1" applyBorder="1" applyAlignment="1">
      <alignment horizontal="center" vertical="center" wrapText="1"/>
    </xf>
    <xf numFmtId="0" fontId="100" fillId="19" borderId="89" xfId="209" applyFont="1" applyFill="1" applyBorder="1" applyAlignment="1">
      <alignment horizontal="center" vertical="center" wrapText="1"/>
    </xf>
    <xf numFmtId="175" fontId="86" fillId="20" borderId="87" xfId="210" applyNumberFormat="1" applyFont="1" applyFill="1" applyBorder="1" applyAlignment="1" applyProtection="1">
      <alignment horizontal="center" vertical="center"/>
    </xf>
    <xf numFmtId="175" fontId="86" fillId="20" borderId="89" xfId="210" applyNumberFormat="1" applyFont="1" applyFill="1" applyBorder="1" applyAlignment="1" applyProtection="1">
      <alignment horizontal="center" vertical="center"/>
    </xf>
    <xf numFmtId="0" fontId="107" fillId="19" borderId="87" xfId="209" applyFont="1" applyFill="1" applyBorder="1" applyAlignment="1">
      <alignment horizontal="center" vertical="center" wrapText="1"/>
    </xf>
    <xf numFmtId="0" fontId="107" fillId="19" borderId="88" xfId="209" applyFont="1" applyFill="1" applyBorder="1" applyAlignment="1">
      <alignment horizontal="center" vertical="center" wrapText="1"/>
    </xf>
    <xf numFmtId="0" fontId="107" fillId="19" borderId="89" xfId="209" applyFont="1" applyFill="1" applyBorder="1" applyAlignment="1">
      <alignment horizontal="center" vertical="center" wrapText="1"/>
    </xf>
    <xf numFmtId="0" fontId="67" fillId="0" borderId="0" xfId="0" applyFont="1" applyAlignment="1">
      <alignment horizontal="right" vertical="center" wrapText="1"/>
    </xf>
    <xf numFmtId="0" fontId="67" fillId="0" borderId="43" xfId="0" applyFont="1" applyBorder="1" applyAlignment="1">
      <alignment horizontal="right" vertical="center" wrapText="1"/>
    </xf>
    <xf numFmtId="0" fontId="126" fillId="35" borderId="11" xfId="0" applyFont="1" applyFill="1" applyBorder="1" applyAlignment="1">
      <alignment horizontal="right" vertical="center"/>
    </xf>
    <xf numFmtId="0" fontId="126" fillId="35" borderId="12" xfId="0" applyFont="1" applyFill="1" applyBorder="1" applyAlignment="1">
      <alignment horizontal="right" vertical="center"/>
    </xf>
    <xf numFmtId="0" fontId="126" fillId="35" borderId="16" xfId="0" applyFont="1" applyFill="1" applyBorder="1" applyAlignment="1">
      <alignment horizontal="right" vertical="center"/>
    </xf>
    <xf numFmtId="0" fontId="126" fillId="35" borderId="13" xfId="0" applyFont="1" applyFill="1" applyBorder="1" applyAlignment="1">
      <alignment horizontal="right" vertical="center"/>
    </xf>
    <xf numFmtId="0" fontId="126" fillId="35" borderId="14" xfId="0" applyFont="1" applyFill="1" applyBorder="1" applyAlignment="1">
      <alignment horizontal="right" vertical="center"/>
    </xf>
    <xf numFmtId="0" fontId="126" fillId="35" borderId="15" xfId="0" applyFont="1" applyFill="1" applyBorder="1" applyAlignment="1">
      <alignment horizontal="right" vertical="center"/>
    </xf>
    <xf numFmtId="0" fontId="126" fillId="35" borderId="2" xfId="0" applyFont="1" applyFill="1" applyBorder="1" applyAlignment="1">
      <alignment horizontal="right" vertical="center"/>
    </xf>
    <xf numFmtId="0" fontId="126" fillId="35" borderId="0" xfId="0" applyFont="1" applyFill="1" applyAlignment="1">
      <alignment horizontal="right" vertical="center"/>
    </xf>
    <xf numFmtId="0" fontId="126" fillId="35" borderId="63" xfId="0" applyFont="1" applyFill="1" applyBorder="1" applyAlignment="1">
      <alignment horizontal="right" vertical="center"/>
    </xf>
    <xf numFmtId="44" fontId="33" fillId="3" borderId="6" xfId="0" applyNumberFormat="1" applyFont="1" applyFill="1" applyBorder="1" applyAlignment="1">
      <alignment horizontal="center" vertical="center"/>
    </xf>
    <xf numFmtId="0" fontId="33" fillId="3" borderId="106" xfId="0" applyFont="1" applyFill="1" applyBorder="1" applyAlignment="1">
      <alignment horizontal="center" vertical="center"/>
    </xf>
    <xf numFmtId="0" fontId="33" fillId="3" borderId="7" xfId="0" applyFont="1" applyFill="1" applyBorder="1" applyAlignment="1">
      <alignment horizontal="center" vertical="center"/>
    </xf>
    <xf numFmtId="44" fontId="33" fillId="3" borderId="6" xfId="7" applyFont="1" applyFill="1" applyBorder="1" applyAlignment="1">
      <alignment horizontal="center" vertical="center"/>
    </xf>
    <xf numFmtId="44" fontId="33" fillId="3" borderId="106" xfId="7" applyFont="1" applyFill="1" applyBorder="1" applyAlignment="1">
      <alignment horizontal="center" vertical="center"/>
    </xf>
    <xf numFmtId="44" fontId="33" fillId="3" borderId="7" xfId="7" applyFont="1" applyFill="1" applyBorder="1" applyAlignment="1">
      <alignment horizontal="center" vertical="center"/>
    </xf>
    <xf numFmtId="0" fontId="124" fillId="0" borderId="13" xfId="0" applyFont="1" applyBorder="1" applyAlignment="1" applyProtection="1">
      <alignment horizontal="center" vertical="center"/>
      <protection locked="0"/>
    </xf>
    <xf numFmtId="0" fontId="124" fillId="0" borderId="14" xfId="0" applyFont="1" applyBorder="1" applyAlignment="1" applyProtection="1">
      <alignment horizontal="center" vertical="center"/>
      <protection locked="0"/>
    </xf>
    <xf numFmtId="0" fontId="124" fillId="0" borderId="15" xfId="0" applyFont="1" applyBorder="1" applyAlignment="1" applyProtection="1">
      <alignment horizontal="center" vertical="center"/>
      <protection locked="0"/>
    </xf>
    <xf numFmtId="0" fontId="124" fillId="0" borderId="2" xfId="0" applyFont="1" applyBorder="1" applyAlignment="1" applyProtection="1">
      <alignment horizontal="center" vertical="center"/>
      <protection locked="0"/>
    </xf>
    <xf numFmtId="0" fontId="124" fillId="0" borderId="0" xfId="0" applyFont="1" applyAlignment="1" applyProtection="1">
      <alignment horizontal="center" vertical="center"/>
      <protection locked="0"/>
    </xf>
    <xf numFmtId="0" fontId="124" fillId="0" borderId="63" xfId="0" applyFont="1" applyBorder="1" applyAlignment="1" applyProtection="1">
      <alignment horizontal="center" vertical="center"/>
      <protection locked="0"/>
    </xf>
    <xf numFmtId="0" fontId="124" fillId="0" borderId="11" xfId="0" applyFont="1" applyBorder="1" applyAlignment="1" applyProtection="1">
      <alignment horizontal="center" vertical="center"/>
      <protection locked="0"/>
    </xf>
    <xf numFmtId="0" fontId="124" fillId="0" borderId="12" xfId="0" applyFont="1" applyBorder="1" applyAlignment="1" applyProtection="1">
      <alignment horizontal="center" vertical="center"/>
      <protection locked="0"/>
    </xf>
    <xf numFmtId="0" fontId="124" fillId="0" borderId="16" xfId="0" applyFont="1" applyBorder="1" applyAlignment="1" applyProtection="1">
      <alignment horizontal="center" vertical="center"/>
      <protection locked="0"/>
    </xf>
    <xf numFmtId="0" fontId="33" fillId="11" borderId="13" xfId="0" applyFont="1" applyFill="1" applyBorder="1" applyAlignment="1" applyProtection="1">
      <alignment horizontal="center" vertical="center"/>
      <protection locked="0"/>
    </xf>
    <xf numFmtId="0" fontId="33" fillId="11" borderId="14" xfId="0" applyFont="1" applyFill="1" applyBorder="1" applyAlignment="1" applyProtection="1">
      <alignment horizontal="center" vertical="center"/>
      <protection locked="0"/>
    </xf>
    <xf numFmtId="0" fontId="33" fillId="11" borderId="15" xfId="0" applyFont="1" applyFill="1" applyBorder="1" applyAlignment="1" applyProtection="1">
      <alignment horizontal="center" vertical="center"/>
      <protection locked="0"/>
    </xf>
    <xf numFmtId="0" fontId="33" fillId="11" borderId="2" xfId="0" applyFont="1" applyFill="1" applyBorder="1" applyAlignment="1" applyProtection="1">
      <alignment horizontal="center" vertical="center"/>
      <protection locked="0"/>
    </xf>
    <xf numFmtId="0" fontId="33" fillId="11" borderId="0" xfId="0" applyFont="1" applyFill="1" applyAlignment="1" applyProtection="1">
      <alignment horizontal="center" vertical="center"/>
      <protection locked="0"/>
    </xf>
    <xf numFmtId="0" fontId="33" fillId="11" borderId="63" xfId="0" applyFont="1" applyFill="1" applyBorder="1" applyAlignment="1" applyProtection="1">
      <alignment horizontal="center" vertical="center"/>
      <protection locked="0"/>
    </xf>
    <xf numFmtId="0" fontId="33" fillId="11" borderId="11" xfId="0" applyFont="1" applyFill="1" applyBorder="1" applyAlignment="1" applyProtection="1">
      <alignment horizontal="center" vertical="center"/>
      <protection locked="0"/>
    </xf>
    <xf numFmtId="0" fontId="33" fillId="11" borderId="12" xfId="0" applyFont="1" applyFill="1" applyBorder="1" applyAlignment="1" applyProtection="1">
      <alignment horizontal="center" vertical="center"/>
      <protection locked="0"/>
    </xf>
    <xf numFmtId="0" fontId="33" fillId="11" borderId="16" xfId="0" applyFont="1" applyFill="1" applyBorder="1" applyAlignment="1" applyProtection="1">
      <alignment horizontal="center" vertical="center"/>
      <protection locked="0"/>
    </xf>
    <xf numFmtId="0" fontId="32" fillId="21" borderId="2" xfId="0" applyFont="1" applyFill="1" applyBorder="1" applyAlignment="1" applyProtection="1">
      <alignment horizontal="left" vertical="center" wrapText="1"/>
      <protection locked="0"/>
    </xf>
    <xf numFmtId="0" fontId="32" fillId="21" borderId="0" xfId="0" applyFont="1" applyFill="1" applyAlignment="1" applyProtection="1">
      <alignment horizontal="left" vertical="center" wrapText="1"/>
      <protection locked="0"/>
    </xf>
    <xf numFmtId="0" fontId="32" fillId="21" borderId="63" xfId="0" applyFont="1" applyFill="1" applyBorder="1" applyAlignment="1" applyProtection="1">
      <alignment horizontal="left" vertical="center" wrapText="1"/>
      <protection locked="0"/>
    </xf>
    <xf numFmtId="0" fontId="32" fillId="21" borderId="13" xfId="0" applyFont="1" applyFill="1" applyBorder="1" applyAlignment="1" applyProtection="1">
      <alignment horizontal="left" vertical="center" wrapText="1"/>
      <protection locked="0"/>
    </xf>
    <xf numFmtId="0" fontId="32" fillId="21" borderId="14" xfId="0" applyFont="1" applyFill="1" applyBorder="1" applyAlignment="1" applyProtection="1">
      <alignment horizontal="left" vertical="center" wrapText="1"/>
      <protection locked="0"/>
    </xf>
    <xf numFmtId="0" fontId="32" fillId="21" borderId="15" xfId="0" applyFont="1" applyFill="1" applyBorder="1" applyAlignment="1" applyProtection="1">
      <alignment horizontal="left" vertical="center" wrapText="1"/>
      <protection locked="0"/>
    </xf>
    <xf numFmtId="0" fontId="32" fillId="21" borderId="11" xfId="0" applyFont="1" applyFill="1" applyBorder="1" applyAlignment="1" applyProtection="1">
      <alignment horizontal="left" vertical="center" wrapText="1"/>
      <protection locked="0"/>
    </xf>
    <xf numFmtId="0" fontId="32" fillId="21" borderId="12" xfId="0" applyFont="1" applyFill="1" applyBorder="1" applyAlignment="1" applyProtection="1">
      <alignment horizontal="left" vertical="center" wrapText="1"/>
      <protection locked="0"/>
    </xf>
    <xf numFmtId="0" fontId="32" fillId="21" borderId="16" xfId="0" applyFont="1" applyFill="1" applyBorder="1" applyAlignment="1" applyProtection="1">
      <alignment horizontal="left" vertical="center" wrapText="1"/>
      <protection locked="0"/>
    </xf>
    <xf numFmtId="0" fontId="33" fillId="28" borderId="8" xfId="0" applyFont="1" applyFill="1" applyBorder="1" applyAlignment="1">
      <alignment horizontal="left" vertical="center"/>
    </xf>
    <xf numFmtId="0" fontId="33" fillId="28" borderId="9" xfId="0" applyFont="1" applyFill="1" applyBorder="1" applyAlignment="1">
      <alignment horizontal="left" vertical="center"/>
    </xf>
    <xf numFmtId="0" fontId="33" fillId="28" borderId="10" xfId="0" applyFont="1" applyFill="1" applyBorder="1" applyAlignment="1">
      <alignment horizontal="left" vertical="center"/>
    </xf>
    <xf numFmtId="169" fontId="117" fillId="25" borderId="5" xfId="0" applyNumberFormat="1" applyFont="1" applyFill="1" applyBorder="1" applyAlignment="1">
      <alignment horizontal="center" vertical="center"/>
    </xf>
    <xf numFmtId="169" fontId="117" fillId="25" borderId="3" xfId="0" applyNumberFormat="1" applyFont="1" applyFill="1" applyBorder="1" applyAlignment="1">
      <alignment horizontal="center" vertical="center"/>
    </xf>
    <xf numFmtId="169" fontId="117" fillId="25" borderId="4" xfId="0" applyNumberFormat="1" applyFont="1" applyFill="1" applyBorder="1" applyAlignment="1">
      <alignment horizontal="center" vertical="center"/>
    </xf>
    <xf numFmtId="0" fontId="118" fillId="25" borderId="5" xfId="0" applyFont="1" applyFill="1" applyBorder="1" applyAlignment="1">
      <alignment horizontal="center" vertical="center"/>
    </xf>
    <xf numFmtId="0" fontId="118" fillId="25" borderId="3" xfId="0" applyFont="1" applyFill="1" applyBorder="1" applyAlignment="1">
      <alignment horizontal="center" vertical="center"/>
    </xf>
    <xf numFmtId="0" fontId="118" fillId="25" borderId="4" xfId="0" applyFont="1" applyFill="1" applyBorder="1" applyAlignment="1">
      <alignment horizontal="center" vertical="center"/>
    </xf>
  </cellXfs>
  <cellStyles count="225">
    <cellStyle name="Attention" xfId="1"/>
    <cellStyle name="Comma 2" xfId="2"/>
    <cellStyle name="Comma 2 2" xfId="3"/>
    <cellStyle name="Comma 2 2 2" xfId="101"/>
    <cellStyle name="Comma 2 3" xfId="4"/>
    <cellStyle name="Comma 2 4" xfId="93"/>
    <cellStyle name="Comma 3" xfId="5"/>
    <cellStyle name="Comma 3 2" xfId="106"/>
    <cellStyle name="Comma 4" xfId="6"/>
    <cellStyle name="Comma 4 2" xfId="177"/>
    <cellStyle name="Comma 4 3" xfId="148"/>
    <cellStyle name="Comma 5" xfId="92"/>
    <cellStyle name="Comma 6" xfId="210"/>
    <cellStyle name="Currency" xfId="7" builtinId="4"/>
    <cellStyle name="Currency 2" xfId="8"/>
    <cellStyle name="Currency 2 2" xfId="9"/>
    <cellStyle name="Currency 2 2 2" xfId="100"/>
    <cellStyle name="Currency 2 3" xfId="178"/>
    <cellStyle name="Currency 3" xfId="10"/>
    <cellStyle name="Currency 3 2" xfId="94"/>
    <cellStyle name="Currency 4" xfId="11"/>
    <cellStyle name="Currency 4 2" xfId="107"/>
    <cellStyle name="Currency 5" xfId="12"/>
    <cellStyle name="Currency 5 2" xfId="179"/>
    <cellStyle name="Currency 5 3" xfId="149"/>
    <cellStyle name="Currency 6" xfId="13"/>
    <cellStyle name="Currency 6 2" xfId="180"/>
    <cellStyle name="Currency 6 3" xfId="150"/>
    <cellStyle name="Currency 7" xfId="14"/>
    <cellStyle name="Currency 7 2" xfId="181"/>
    <cellStyle name="Currency 7 3" xfId="151"/>
    <cellStyle name="Good 2" xfId="97"/>
    <cellStyle name="Hyperlink 2" xfId="15"/>
    <cellStyle name="Hyperlink 3" xfId="16"/>
    <cellStyle name="Neutral 2" xfId="98"/>
    <cellStyle name="Normal" xfId="0" builtinId="0"/>
    <cellStyle name="Normal 10" xfId="17"/>
    <cellStyle name="Normal 10 2" xfId="18"/>
    <cellStyle name="Normal 10 2 2" xfId="109"/>
    <cellStyle name="Normal 10 3" xfId="108"/>
    <cellStyle name="Normal 11" xfId="19"/>
    <cellStyle name="Normal 11 2" xfId="20"/>
    <cellStyle name="Normal 11 2 2" xfId="111"/>
    <cellStyle name="Normal 11 3" xfId="110"/>
    <cellStyle name="Normal 12" xfId="21"/>
    <cellStyle name="Normal 12 2" xfId="22"/>
    <cellStyle name="Normal 12 2 2" xfId="113"/>
    <cellStyle name="Normal 12 3" xfId="112"/>
    <cellStyle name="Normal 124 2 10 2 3" xfId="23"/>
    <cellStyle name="Normal 124 2 10 2 3 2" xfId="182"/>
    <cellStyle name="Normal 124 2 10 2 3 2 2" xfId="220"/>
    <cellStyle name="Normal 124 2 10 2 3 3" xfId="152"/>
    <cellStyle name="Normal 124 2 10 2 3 3 2" xfId="216"/>
    <cellStyle name="Normal 124 2 10 2 3 4" xfId="211"/>
    <cellStyle name="Normal 13" xfId="24"/>
    <cellStyle name="Normal 13 2" xfId="25"/>
    <cellStyle name="Normal 13 2 2" xfId="115"/>
    <cellStyle name="Normal 13 3" xfId="114"/>
    <cellStyle name="Normal 14" xfId="26"/>
    <cellStyle name="Normal 14 2" xfId="116"/>
    <cellStyle name="Normal 15" xfId="27"/>
    <cellStyle name="Normal 15 2" xfId="28"/>
    <cellStyle name="Normal 15 2 2" xfId="118"/>
    <cellStyle name="Normal 15 3" xfId="117"/>
    <cellStyle name="Normal 16" xfId="29"/>
    <cellStyle name="Normal 16 2" xfId="30"/>
    <cellStyle name="Normal 16 2 2" xfId="120"/>
    <cellStyle name="Normal 16 3" xfId="119"/>
    <cellStyle name="Normal 17" xfId="31"/>
    <cellStyle name="Normal 17 2" xfId="32"/>
    <cellStyle name="Normal 17 2 2" xfId="122"/>
    <cellStyle name="Normal 17 3" xfId="121"/>
    <cellStyle name="Normal 18" xfId="33"/>
    <cellStyle name="Normal 18 2" xfId="34"/>
    <cellStyle name="Normal 18 2 2" xfId="124"/>
    <cellStyle name="Normal 18 3" xfId="123"/>
    <cellStyle name="Normal 19" xfId="35"/>
    <cellStyle name="Normal 19 2" xfId="36"/>
    <cellStyle name="Normal 19 2 2" xfId="126"/>
    <cellStyle name="Normal 19 3" xfId="125"/>
    <cellStyle name="Normal 2" xfId="37"/>
    <cellStyle name="Normal 2 2" xfId="38"/>
    <cellStyle name="Normal 2 2 2" xfId="127"/>
    <cellStyle name="Normal 2 2 2 2" xfId="183"/>
    <cellStyle name="Normal 2 2 2 2 2" xfId="221"/>
    <cellStyle name="Normal 2 2 2 3" xfId="215"/>
    <cellStyle name="Normal 2 2 3" xfId="153"/>
    <cellStyle name="Normal 2 2 3 2" xfId="217"/>
    <cellStyle name="Normal 2 2 4" xfId="212"/>
    <cellStyle name="Normal 2 3" xfId="39"/>
    <cellStyle name="Normal 2 3 2" xfId="128"/>
    <cellStyle name="Normal 2 4" xfId="40"/>
    <cellStyle name="Normal 2 4 2" xfId="184"/>
    <cellStyle name="Normal 2 4 2 2" xfId="222"/>
    <cellStyle name="Normal 2 4 3" xfId="154"/>
    <cellStyle name="Normal 2 4 3 2" xfId="218"/>
    <cellStyle name="Normal 2 4 4" xfId="213"/>
    <cellStyle name="Normal 2 5" xfId="99"/>
    <cellStyle name="Normal 20" xfId="41"/>
    <cellStyle name="Normal 20 2" xfId="42"/>
    <cellStyle name="Normal 20 2 2" xfId="130"/>
    <cellStyle name="Normal 20 3" xfId="129"/>
    <cellStyle name="Normal 21" xfId="43"/>
    <cellStyle name="Normal 21 2" xfId="131"/>
    <cellStyle name="Normal 22" xfId="44"/>
    <cellStyle name="Normal 22 2" xfId="132"/>
    <cellStyle name="Normal 23" xfId="45"/>
    <cellStyle name="Normal 23 2" xfId="46"/>
    <cellStyle name="Normal 23 2 2" xfId="134"/>
    <cellStyle name="Normal 23 3" xfId="133"/>
    <cellStyle name="Normal 24" xfId="47"/>
    <cellStyle name="Normal 24 2" xfId="135"/>
    <cellStyle name="Normal 25" xfId="48"/>
    <cellStyle name="Normal 25 2" xfId="49"/>
    <cellStyle name="Normal 25 2 2" xfId="137"/>
    <cellStyle name="Normal 25 3" xfId="50"/>
    <cellStyle name="Normal 25 3 2" xfId="138"/>
    <cellStyle name="Normal 25 4" xfId="136"/>
    <cellStyle name="Normal 26" xfId="51"/>
    <cellStyle name="Normal 27" xfId="52"/>
    <cellStyle name="Normal 27 2" xfId="185"/>
    <cellStyle name="Normal 27 3" xfId="155"/>
    <cellStyle name="Normal 28" xfId="53"/>
    <cellStyle name="Normal 28 2" xfId="186"/>
    <cellStyle name="Normal 28 3" xfId="156"/>
    <cellStyle name="Normal 29" xfId="54"/>
    <cellStyle name="Normal 29 2" xfId="187"/>
    <cellStyle name="Normal 29 3" xfId="157"/>
    <cellStyle name="Normal 3" xfId="55"/>
    <cellStyle name="Normal 3 2" xfId="56"/>
    <cellStyle name="Normal 3 2 2" xfId="139"/>
    <cellStyle name="Normal 3 3" xfId="102"/>
    <cellStyle name="Normal 3 3 2" xfId="188"/>
    <cellStyle name="Normal 30" xfId="57"/>
    <cellStyle name="Normal 30 2" xfId="189"/>
    <cellStyle name="Normal 30 3" xfId="158"/>
    <cellStyle name="Normal 31" xfId="58"/>
    <cellStyle name="Normal 31 2" xfId="190"/>
    <cellStyle name="Normal 31 3" xfId="159"/>
    <cellStyle name="Normal 32" xfId="59"/>
    <cellStyle name="Normal 32 2" xfId="191"/>
    <cellStyle name="Normal 32 3" xfId="160"/>
    <cellStyle name="Normal 33" xfId="60"/>
    <cellStyle name="Normal 33 2" xfId="192"/>
    <cellStyle name="Normal 33 3" xfId="161"/>
    <cellStyle name="Normal 34" xfId="61"/>
    <cellStyle name="Normal 34 2" xfId="193"/>
    <cellStyle name="Normal 34 3" xfId="162"/>
    <cellStyle name="Normal 35" xfId="62"/>
    <cellStyle name="Normal 35 2" xfId="194"/>
    <cellStyle name="Normal 35 3" xfId="163"/>
    <cellStyle name="Normal 36" xfId="63"/>
    <cellStyle name="Normal 36 2" xfId="195"/>
    <cellStyle name="Normal 36 3" xfId="164"/>
    <cellStyle name="Normal 37" xfId="64"/>
    <cellStyle name="Normal 37 2" xfId="196"/>
    <cellStyle name="Normal 37 3" xfId="165"/>
    <cellStyle name="Normal 38" xfId="65"/>
    <cellStyle name="Normal 38 2" xfId="197"/>
    <cellStyle name="Normal 38 3" xfId="166"/>
    <cellStyle name="Normal 39" xfId="66"/>
    <cellStyle name="Normal 39 2" xfId="198"/>
    <cellStyle name="Normal 39 3" xfId="167"/>
    <cellStyle name="Normal 4" xfId="67"/>
    <cellStyle name="Normal 4 2" xfId="103"/>
    <cellStyle name="Normal 4 2 2" xfId="199"/>
    <cellStyle name="Normal 4 3" xfId="168"/>
    <cellStyle name="Normal 40" xfId="68"/>
    <cellStyle name="Normal 40 2" xfId="200"/>
    <cellStyle name="Normal 40 3" xfId="169"/>
    <cellStyle name="Normal 41" xfId="69"/>
    <cellStyle name="Normal 41 2" xfId="201"/>
    <cellStyle name="Normal 41 3" xfId="170"/>
    <cellStyle name="Normal 42" xfId="70"/>
    <cellStyle name="Normal 42 2" xfId="202"/>
    <cellStyle name="Normal 42 3" xfId="171"/>
    <cellStyle name="Normal 43" xfId="71"/>
    <cellStyle name="Normal 43 2" xfId="203"/>
    <cellStyle name="Normal 43 3" xfId="172"/>
    <cellStyle name="Normal 44" xfId="72"/>
    <cellStyle name="Normal 45" xfId="73"/>
    <cellStyle name="Normal 45 2" xfId="204"/>
    <cellStyle name="Normal 45 3" xfId="173"/>
    <cellStyle name="Normal 46" xfId="91"/>
    <cellStyle name="Normal 47" xfId="209"/>
    <cellStyle name="Normal 47 2" xfId="224"/>
    <cellStyle name="Normal 49 2" xfId="90"/>
    <cellStyle name="Normal 5" xfId="74"/>
    <cellStyle name="Normal 5 2" xfId="75"/>
    <cellStyle name="Normal 5 2 2" xfId="140"/>
    <cellStyle name="Normal 5 3" xfId="104"/>
    <cellStyle name="Normal 5 3 2" xfId="205"/>
    <cellStyle name="Normal 6" xfId="76"/>
    <cellStyle name="Normal 6 2" xfId="77"/>
    <cellStyle name="Normal 6 2 2" xfId="141"/>
    <cellStyle name="Normal 6 3" xfId="105"/>
    <cellStyle name="Normal 7" xfId="78"/>
    <cellStyle name="Normal 7 2" xfId="79"/>
    <cellStyle name="Normal 7 2 2" xfId="143"/>
    <cellStyle name="Normal 7 3" xfId="142"/>
    <cellStyle name="Normal 8" xfId="80"/>
    <cellStyle name="Normal 8 2" xfId="144"/>
    <cellStyle name="Normal 81" xfId="81"/>
    <cellStyle name="Normal 81 2" xfId="145"/>
    <cellStyle name="Normal 9" xfId="82"/>
    <cellStyle name="Normal 9 2" xfId="146"/>
    <cellStyle name="Percent" xfId="83" builtinId="5"/>
    <cellStyle name="Percent 2" xfId="84"/>
    <cellStyle name="Percent 2 11" xfId="85"/>
    <cellStyle name="Percent 2 11 2" xfId="206"/>
    <cellStyle name="Percent 2 11 3" xfId="174"/>
    <cellStyle name="Percent 2 2" xfId="96"/>
    <cellStyle name="Percent 3" xfId="86"/>
    <cellStyle name="Percent 4" xfId="87"/>
    <cellStyle name="Percent 4 2" xfId="147"/>
    <cellStyle name="Percent 5" xfId="88"/>
    <cellStyle name="Percent 5 2" xfId="207"/>
    <cellStyle name="Percent 5 2 3" xfId="89"/>
    <cellStyle name="Percent 5 2 3 2" xfId="208"/>
    <cellStyle name="Percent 5 2 3 2 2" xfId="223"/>
    <cellStyle name="Percent 5 2 3 3" xfId="176"/>
    <cellStyle name="Percent 5 2 3 3 2" xfId="219"/>
    <cellStyle name="Percent 5 2 3 4" xfId="214"/>
    <cellStyle name="Percent 5 3" xfId="175"/>
    <cellStyle name="TableStyleLight1" xfId="95"/>
  </cellStyles>
  <dxfs count="25">
    <dxf>
      <font>
        <b/>
        <i val="0"/>
        <color theme="1"/>
      </font>
      <numFmt numFmtId="14" formatCode="0.00%"/>
      <fill>
        <patternFill>
          <bgColor theme="0"/>
        </patternFill>
      </fill>
    </dxf>
    <dxf>
      <font>
        <b/>
        <i val="0"/>
        <color theme="0"/>
      </font>
      <numFmt numFmtId="14" formatCode="0.00%"/>
      <fill>
        <patternFill>
          <bgColor rgb="FF00B050"/>
        </patternFill>
      </fill>
    </dxf>
    <dxf>
      <font>
        <b/>
        <i val="0"/>
        <color theme="0"/>
      </font>
      <numFmt numFmtId="14" formatCode="0.00%"/>
      <fill>
        <patternFill>
          <bgColor rgb="FFFF0000"/>
        </patternFill>
      </fill>
    </dxf>
    <dxf>
      <font>
        <b/>
        <i val="0"/>
        <color theme="1"/>
      </font>
      <numFmt numFmtId="14" formatCode="0.00%"/>
      <fill>
        <patternFill>
          <bgColor theme="0"/>
        </patternFill>
      </fill>
    </dxf>
    <dxf>
      <font>
        <b/>
        <i val="0"/>
        <color theme="0"/>
      </font>
      <numFmt numFmtId="14" formatCode="0.00%"/>
      <fill>
        <patternFill>
          <bgColor rgb="FF00B050"/>
        </patternFill>
      </fill>
    </dxf>
    <dxf>
      <font>
        <b/>
        <i val="0"/>
        <color theme="0"/>
      </font>
      <numFmt numFmtId="14" formatCode="0.00%"/>
      <fill>
        <patternFill>
          <bgColor rgb="FFFF0000"/>
        </patternFill>
      </fill>
    </dxf>
    <dxf>
      <font>
        <b/>
        <i val="0"/>
        <color theme="1"/>
      </font>
      <numFmt numFmtId="14" formatCode="0.00%"/>
      <fill>
        <patternFill>
          <bgColor theme="0"/>
        </patternFill>
      </fill>
    </dxf>
    <dxf>
      <font>
        <b/>
        <i val="0"/>
        <color theme="0"/>
      </font>
      <numFmt numFmtId="14" formatCode="0.00%"/>
      <fill>
        <patternFill>
          <bgColor rgb="FF00B050"/>
        </patternFill>
      </fill>
    </dxf>
    <dxf>
      <font>
        <b/>
        <i val="0"/>
        <color theme="0"/>
      </font>
      <numFmt numFmtId="14" formatCode="0.00%"/>
      <fill>
        <patternFill>
          <bgColor rgb="FFFF0000"/>
        </patternFill>
      </fill>
    </dxf>
    <dxf>
      <font>
        <b/>
        <i val="0"/>
        <color theme="1"/>
      </font>
      <numFmt numFmtId="14" formatCode="0.00%"/>
      <fill>
        <patternFill>
          <bgColor theme="0"/>
        </patternFill>
      </fill>
    </dxf>
    <dxf>
      <font>
        <b/>
        <i val="0"/>
        <color theme="0"/>
      </font>
      <numFmt numFmtId="14" formatCode="0.00%"/>
      <fill>
        <patternFill>
          <bgColor rgb="FF00B050"/>
        </patternFill>
      </fill>
    </dxf>
    <dxf>
      <font>
        <b/>
        <i val="0"/>
        <color theme="0"/>
      </font>
      <numFmt numFmtId="14" formatCode="0.00%"/>
      <fill>
        <patternFill>
          <bgColor rgb="FFFF0000"/>
        </patternFill>
      </fill>
    </dxf>
    <dxf>
      <font>
        <b/>
        <i val="0"/>
        <color theme="1"/>
      </font>
      <numFmt numFmtId="14" formatCode="0.00%"/>
      <fill>
        <patternFill>
          <bgColor theme="0"/>
        </patternFill>
      </fill>
    </dxf>
    <dxf>
      <font>
        <b/>
        <i val="0"/>
        <color theme="0"/>
      </font>
      <numFmt numFmtId="14" formatCode="0.00%"/>
      <fill>
        <patternFill>
          <bgColor rgb="FF00B050"/>
        </patternFill>
      </fill>
    </dxf>
    <dxf>
      <font>
        <b/>
        <i val="0"/>
        <color theme="0"/>
      </font>
      <numFmt numFmtId="14" formatCode="0.00%"/>
      <fill>
        <patternFill>
          <bgColor rgb="FFFF0000"/>
        </patternFill>
      </fill>
    </dxf>
    <dxf>
      <font>
        <b/>
        <i val="0"/>
        <color theme="1"/>
      </font>
      <numFmt numFmtId="14" formatCode="0.00%"/>
      <fill>
        <patternFill>
          <bgColor theme="0"/>
        </patternFill>
      </fill>
    </dxf>
    <dxf>
      <font>
        <b/>
        <i val="0"/>
        <color theme="0"/>
      </font>
      <numFmt numFmtId="14" formatCode="0.00%"/>
      <fill>
        <patternFill>
          <bgColor rgb="FF00B050"/>
        </patternFill>
      </fill>
    </dxf>
    <dxf>
      <font>
        <b/>
        <i val="0"/>
        <color theme="0"/>
      </font>
      <numFmt numFmtId="14" formatCode="0.00%"/>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0"/>
      </font>
      <fill>
        <patternFill>
          <bgColor rgb="FFFF0000"/>
        </patternFill>
      </fill>
    </dxf>
    <dxf>
      <font>
        <b/>
        <i val="0"/>
        <color theme="1"/>
      </font>
      <fill>
        <patternFill>
          <bgColor rgb="FFFFC000"/>
        </patternFill>
      </fill>
    </dxf>
    <dxf>
      <font>
        <b/>
        <i val="0"/>
        <color theme="1"/>
      </font>
      <fill>
        <patternFill>
          <bgColor rgb="FFFFC000"/>
        </patternFill>
      </fill>
    </dxf>
    <dxf>
      <font>
        <b/>
        <i val="0"/>
        <color theme="0"/>
      </font>
      <fill>
        <patternFill>
          <bgColor rgb="FFFF0000"/>
        </patternFill>
      </fill>
    </dxf>
  </dxfs>
  <tableStyles count="0" defaultTableStyle="TableStyleMedium9" defaultPivotStyle="PivotStyleLight16"/>
  <colors>
    <mruColors>
      <color rgb="FFF4F4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SUPPLIES AND CHEMICALS</a:t>
            </a:r>
          </a:p>
          <a:p>
            <a:pPr>
              <a:defRPr sz="1600" b="1" i="0" u="none" strike="noStrike" kern="1200" baseline="0">
                <a:solidFill>
                  <a:schemeClr val="tx2"/>
                </a:solidFill>
                <a:latin typeface="+mn-lt"/>
                <a:ea typeface="+mn-ea"/>
                <a:cs typeface="+mn-cs"/>
              </a:defRPr>
            </a:pPr>
            <a:endParaRPr lang="en-US"/>
          </a:p>
        </c:rich>
      </c:tx>
      <c:overlay val="0"/>
      <c:spPr>
        <a:noFill/>
        <a:ln>
          <a:noFill/>
        </a:ln>
        <a:effectLst/>
      </c:spPr>
    </c:title>
    <c:autoTitleDeleted val="0"/>
    <c:plotArea>
      <c:layout/>
      <c:pieChart>
        <c:varyColors val="1"/>
        <c:ser>
          <c:idx val="0"/>
          <c:order val="0"/>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extLst xmlns:c16r2="http://schemas.microsoft.com/office/drawing/2015/06/chart">
              <c:ext xmlns:c16="http://schemas.microsoft.com/office/drawing/2014/chart" uri="{C3380CC4-5D6E-409C-BE32-E72D297353CC}">
                <c16:uniqueId val="{00000001-F823-405D-B11E-A0437FD933A4}"/>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extLst xmlns:c16r2="http://schemas.microsoft.com/office/drawing/2015/06/chart">
              <c:ext xmlns:c16="http://schemas.microsoft.com/office/drawing/2014/chart" uri="{C3380CC4-5D6E-409C-BE32-E72D297353CC}">
                <c16:uniqueId val="{00000002-F823-405D-B11E-A0437FD933A4}"/>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c:spPr>
            <c:extLst xmlns:c16r2="http://schemas.microsoft.com/office/drawing/2015/06/chart">
              <c:ext xmlns:c16="http://schemas.microsoft.com/office/drawing/2014/chart" uri="{C3380CC4-5D6E-409C-BE32-E72D297353CC}">
                <c16:uniqueId val="{00000003-F823-405D-B11E-A0437FD933A4}"/>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c:spPr>
            <c:extLst xmlns:c16r2="http://schemas.microsoft.com/office/drawing/2015/06/chart">
              <c:ext xmlns:c16="http://schemas.microsoft.com/office/drawing/2014/chart" uri="{C3380CC4-5D6E-409C-BE32-E72D297353CC}">
                <c16:uniqueId val="{00000004-F823-405D-B11E-A0437FD933A4}"/>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c:spPr>
            <c:extLst xmlns:c16r2="http://schemas.microsoft.com/office/drawing/2015/06/chart">
              <c:ext xmlns:c16="http://schemas.microsoft.com/office/drawing/2014/chart" uri="{C3380CC4-5D6E-409C-BE32-E72D297353CC}">
                <c16:uniqueId val="{00000005-F823-405D-B11E-A0437FD933A4}"/>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xmlns:c16r2="http://schemas.microsoft.com/office/drawing/2015/06/chart">
              <c:ext xmlns:c15="http://schemas.microsoft.com/office/drawing/2012/chart" uri="{CE6537A1-D6FC-4f65-9D91-7224C49458BB}">
                <c15:spPr xmlns:c15="http://schemas.microsoft.com/office/drawing/2012/chart">
                  <a:prstGeom prst="wedgeRectCallout">
                    <a:avLst/>
                  </a:prstGeom>
                  <a:noFill/>
                  <a:ln>
                    <a:noFill/>
                  </a:ln>
                </c15:spPr>
              </c:ext>
            </c:extLst>
          </c:dLbls>
          <c:cat>
            <c:strRef>
              <c:f>'Inv Totals'!$F$5:$F$9</c:f>
              <c:strCache>
                <c:ptCount val="5"/>
                <c:pt idx="0">
                  <c:v>Chemicals - Cleaning </c:v>
                </c:pt>
                <c:pt idx="1">
                  <c:v>Chemicals -Dishmachines </c:v>
                </c:pt>
                <c:pt idx="2">
                  <c:v>Cleaning supplier &amp; paper goods</c:v>
                </c:pt>
                <c:pt idx="3">
                  <c:v>Supplies Catering &amp; take out menu</c:v>
                </c:pt>
                <c:pt idx="4">
                  <c:v>Others Supplies</c:v>
                </c:pt>
              </c:strCache>
            </c:strRef>
          </c:cat>
          <c:val>
            <c:numRef>
              <c:f>'Inv Totals'!$G$5:$G$9</c:f>
              <c:numCache>
                <c:formatCode>_("$"* #,##0.00_);_("$"* \(#,##0.00\);_("$"* "-"??_);_(@_)</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F823-405D-B11E-A0437FD933A4}"/>
            </c:ext>
          </c:extLst>
        </c:ser>
        <c:dLbls>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FOOD</a:t>
            </a:r>
          </a:p>
        </c:rich>
      </c:tx>
      <c:overlay val="0"/>
      <c:spPr>
        <a:noFill/>
        <a:ln>
          <a:noFill/>
        </a:ln>
        <a:effectLst/>
      </c:spPr>
    </c:title>
    <c:autoTitleDeleted val="0"/>
    <c:plotArea>
      <c:layout/>
      <c:pieChart>
        <c:varyColors val="1"/>
        <c:ser>
          <c:idx val="0"/>
          <c:order val="0"/>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extLst xmlns:c16r2="http://schemas.microsoft.com/office/drawing/2015/06/chart">
              <c:ext xmlns:c16="http://schemas.microsoft.com/office/drawing/2014/chart" uri="{C3380CC4-5D6E-409C-BE32-E72D297353CC}">
                <c16:uniqueId val="{00000001-28ED-4AF7-AD33-6FA947DD8376}"/>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extLst xmlns:c16r2="http://schemas.microsoft.com/office/drawing/2015/06/chart">
              <c:ext xmlns:c16="http://schemas.microsoft.com/office/drawing/2014/chart" uri="{C3380CC4-5D6E-409C-BE32-E72D297353CC}">
                <c16:uniqueId val="{00000002-28ED-4AF7-AD33-6FA947DD8376}"/>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c:spPr>
            <c:extLst xmlns:c16r2="http://schemas.microsoft.com/office/drawing/2015/06/chart">
              <c:ext xmlns:c16="http://schemas.microsoft.com/office/drawing/2014/chart" uri="{C3380CC4-5D6E-409C-BE32-E72D297353CC}">
                <c16:uniqueId val="{00000003-28ED-4AF7-AD33-6FA947DD8376}"/>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c:spPr>
            <c:extLst xmlns:c16r2="http://schemas.microsoft.com/office/drawing/2015/06/chart">
              <c:ext xmlns:c16="http://schemas.microsoft.com/office/drawing/2014/chart" uri="{C3380CC4-5D6E-409C-BE32-E72D297353CC}">
                <c16:uniqueId val="{00000004-28ED-4AF7-AD33-6FA947DD8376}"/>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c:spPr>
            <c:extLst xmlns:c16r2="http://schemas.microsoft.com/office/drawing/2015/06/chart">
              <c:ext xmlns:c16="http://schemas.microsoft.com/office/drawing/2014/chart" uri="{C3380CC4-5D6E-409C-BE32-E72D297353CC}">
                <c16:uniqueId val="{00000005-28ED-4AF7-AD33-6FA947DD8376}"/>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c:spPr>
            <c:extLst xmlns:c16r2="http://schemas.microsoft.com/office/drawing/2015/06/chart">
              <c:ext xmlns:c16="http://schemas.microsoft.com/office/drawing/2014/chart" uri="{C3380CC4-5D6E-409C-BE32-E72D297353CC}">
                <c16:uniqueId val="{00000006-28ED-4AF7-AD33-6FA947DD8376}"/>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c:spPr>
            <c:extLst xmlns:c16r2="http://schemas.microsoft.com/office/drawing/2015/06/chart">
              <c:ext xmlns:c16="http://schemas.microsoft.com/office/drawing/2014/chart" uri="{C3380CC4-5D6E-409C-BE32-E72D297353CC}">
                <c16:uniqueId val="{00000007-28ED-4AF7-AD33-6FA947DD8376}"/>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c:spPr>
            <c:extLst xmlns:c16r2="http://schemas.microsoft.com/office/drawing/2015/06/chart">
              <c:ext xmlns:c16="http://schemas.microsoft.com/office/drawing/2014/chart" uri="{C3380CC4-5D6E-409C-BE32-E72D297353CC}">
                <c16:uniqueId val="{00000008-28ED-4AF7-AD33-6FA947DD8376}"/>
              </c:ext>
            </c:extLst>
          </c:dPt>
          <c:dPt>
            <c:idx val="8"/>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c:spPr>
            <c:extLst xmlns:c16r2="http://schemas.microsoft.com/office/drawing/2015/06/chart">
              <c:ext xmlns:c16="http://schemas.microsoft.com/office/drawing/2014/chart" uri="{C3380CC4-5D6E-409C-BE32-E72D297353CC}">
                <c16:uniqueId val="{00000011-D08F-4D7D-BACB-434FAC204D73}"/>
              </c:ext>
            </c:extLst>
          </c:dPt>
          <c:dLbls>
            <c:dLbl>
              <c:idx val="0"/>
              <c:showLegendKey val="0"/>
              <c:showVal val="0"/>
              <c:showCatName val="0"/>
              <c:showSerName val="0"/>
              <c:showPercent val="1"/>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28ED-4AF7-AD33-6FA947DD8376}"/>
                </c:ext>
              </c:extLst>
            </c:dLbl>
            <c:dLbl>
              <c:idx val="1"/>
              <c:showLegendKey val="0"/>
              <c:showVal val="0"/>
              <c:showCatName val="0"/>
              <c:showSerName val="0"/>
              <c:showPercent val="1"/>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28ED-4AF7-AD33-6FA947DD8376}"/>
                </c:ext>
              </c:extLst>
            </c:dLbl>
            <c:dLbl>
              <c:idx val="2"/>
              <c:showLegendKey val="0"/>
              <c:showVal val="0"/>
              <c:showCatName val="0"/>
              <c:showSerName val="0"/>
              <c:showPercent val="1"/>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28ED-4AF7-AD33-6FA947DD8376}"/>
                </c:ext>
              </c:extLst>
            </c:dLbl>
            <c:dLbl>
              <c:idx val="3"/>
              <c:showLegendKey val="0"/>
              <c:showVal val="0"/>
              <c:showCatName val="0"/>
              <c:showSerName val="0"/>
              <c:showPercent val="1"/>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28ED-4AF7-AD33-6FA947DD8376}"/>
                </c:ext>
              </c:extLst>
            </c:dLbl>
            <c:dLbl>
              <c:idx val="4"/>
              <c:showLegendKey val="0"/>
              <c:showVal val="0"/>
              <c:showCatName val="0"/>
              <c:showSerName val="0"/>
              <c:showPercent val="1"/>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28ED-4AF7-AD33-6FA947DD8376}"/>
                </c:ext>
              </c:extLst>
            </c:dLbl>
            <c:dLbl>
              <c:idx val="5"/>
              <c:showLegendKey val="0"/>
              <c:showVal val="0"/>
              <c:showCatName val="0"/>
              <c:showSerName val="0"/>
              <c:showPercent val="1"/>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28ED-4AF7-AD33-6FA947DD8376}"/>
                </c:ext>
              </c:extLst>
            </c:dLbl>
            <c:dLbl>
              <c:idx val="6"/>
              <c:showLegendKey val="0"/>
              <c:showVal val="0"/>
              <c:showCatName val="0"/>
              <c:showSerName val="0"/>
              <c:showPercent val="1"/>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28ED-4AF7-AD33-6FA947DD8376}"/>
                </c:ext>
              </c:extLst>
            </c:dLbl>
            <c:dLbl>
              <c:idx val="7"/>
              <c:showLegendKey val="0"/>
              <c:showVal val="0"/>
              <c:showCatName val="0"/>
              <c:showSerName val="0"/>
              <c:showPercent val="1"/>
              <c:showBubbleSize val="0"/>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28ED-4AF7-AD33-6FA947DD8376}"/>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2">
                        <a:lumMod val="75000"/>
                      </a:schemeClr>
                    </a:solidFill>
                    <a:latin typeface="+mn-lt"/>
                    <a:ea typeface="+mn-ea"/>
                    <a:cs typeface="+mn-cs"/>
                  </a:defRPr>
                </a:pPr>
                <a:endParaRPr lang="en-US"/>
              </a:p>
            </c:txPr>
            <c:showLegendKey val="0"/>
            <c:showVal val="0"/>
            <c:showCatName val="0"/>
            <c:showSerName val="0"/>
            <c:showPercent val="1"/>
            <c:showBubbleSize val="0"/>
            <c:separator>
</c:separator>
            <c:showLeaderLines val="0"/>
            <c:extLst xmlns:c16r2="http://schemas.microsoft.com/office/drawing/2015/06/chart">
              <c:ext xmlns:c15="http://schemas.microsoft.com/office/drawing/2012/chart" uri="{CE6537A1-D6FC-4f65-9D91-7224C49458BB}">
                <c15:spPr xmlns:c15="http://schemas.microsoft.com/office/drawing/2012/chart">
                  <a:prstGeom prst="wedgeRectCallout">
                    <a:avLst/>
                  </a:prstGeom>
                  <a:noFill/>
                  <a:ln>
                    <a:noFill/>
                  </a:ln>
                </c15:spPr>
              </c:ext>
            </c:extLst>
          </c:dLbls>
          <c:cat>
            <c:strRef>
              <c:f>'Inv Totals'!$D$5:$D$13</c:f>
              <c:strCache>
                <c:ptCount val="9"/>
                <c:pt idx="0">
                  <c:v>Beef</c:v>
                </c:pt>
                <c:pt idx="1">
                  <c:v>Lamb</c:v>
                </c:pt>
                <c:pt idx="2">
                  <c:v>Chicken</c:v>
                </c:pt>
                <c:pt idx="3">
                  <c:v>Pork</c:v>
                </c:pt>
                <c:pt idx="4">
                  <c:v>Seafood</c:v>
                </c:pt>
                <c:pt idx="5">
                  <c:v>Grocery</c:v>
                </c:pt>
                <c:pt idx="6">
                  <c:v>Produce</c:v>
                </c:pt>
                <c:pt idx="7">
                  <c:v>Dairy / Dessert</c:v>
                </c:pt>
                <c:pt idx="8">
                  <c:v>Other Foods</c:v>
                </c:pt>
              </c:strCache>
            </c:strRef>
          </c:cat>
          <c:val>
            <c:numRef>
              <c:f>'Inv Totals'!$E$5:$E$13</c:f>
              <c:numCache>
                <c:formatCode>_("$"* #,##0.00_);_("$"* \(#,##0.00\);_("$"* "-"??_);_(@_)</c:formatCode>
                <c:ptCount val="9"/>
                <c:pt idx="0">
                  <c:v>20118.999999999996</c:v>
                </c:pt>
                <c:pt idx="1">
                  <c:v>5079.7</c:v>
                </c:pt>
                <c:pt idx="2">
                  <c:v>623.79999999999995</c:v>
                </c:pt>
                <c:pt idx="3">
                  <c:v>2676.6200000000003</c:v>
                </c:pt>
                <c:pt idx="4">
                  <c:v>923.6</c:v>
                </c:pt>
                <c:pt idx="5">
                  <c:v>9462.3340000000007</c:v>
                </c:pt>
                <c:pt idx="6">
                  <c:v>1257.3300000000002</c:v>
                </c:pt>
                <c:pt idx="7">
                  <c:v>3700.2400000000002</c:v>
                </c:pt>
                <c:pt idx="8">
                  <c:v>54.5</c:v>
                </c:pt>
              </c:numCache>
            </c:numRef>
          </c:val>
          <c:extLst xmlns:c16r2="http://schemas.microsoft.com/office/drawing/2015/06/chart">
            <c:ext xmlns:c16="http://schemas.microsoft.com/office/drawing/2014/chart" uri="{C3380CC4-5D6E-409C-BE32-E72D297353CC}">
              <c16:uniqueId val="{00000000-28ED-4AF7-AD33-6FA947DD8376}"/>
            </c:ext>
          </c:extLst>
        </c:ser>
        <c:dLbls>
          <c:showLegendKey val="0"/>
          <c:showVal val="0"/>
          <c:showCatName val="0"/>
          <c:showSerName val="0"/>
          <c:showPercent val="1"/>
          <c:showBubbleSize val="0"/>
          <c:showLeaderLines val="0"/>
        </c:dLbls>
        <c:firstSliceAng val="188"/>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Beverage</a:t>
            </a:r>
          </a:p>
        </c:rich>
      </c:tx>
      <c:layout>
        <c:manualLayout>
          <c:xMode val="edge"/>
          <c:yMode val="edge"/>
          <c:x val="0.38762590573614197"/>
          <c:y val="2.318839874064476E-2"/>
        </c:manualLayout>
      </c:layout>
      <c:overlay val="0"/>
      <c:spPr>
        <a:noFill/>
        <a:ln>
          <a:noFill/>
        </a:ln>
        <a:effectLst/>
      </c:spPr>
    </c:title>
    <c:autoTitleDeleted val="0"/>
    <c:plotArea>
      <c:layout/>
      <c:pieChart>
        <c:varyColors val="1"/>
        <c:ser>
          <c:idx val="0"/>
          <c:order val="0"/>
          <c:dPt>
            <c:idx val="0"/>
            <c:bubble3D val="0"/>
            <c:spPr>
              <a:solidFill>
                <a:schemeClr val="accent3">
                  <a:lumMod val="75000"/>
                </a:schemeClr>
              </a:solidFill>
              <a:ln>
                <a:noFill/>
              </a:ln>
              <a:effectLst>
                <a:outerShdw blurRad="40000" dist="23000" dir="5400000" rotWithShape="0">
                  <a:srgbClr val="000000">
                    <a:alpha val="35000"/>
                  </a:srgbClr>
                </a:outerShdw>
              </a:effectLst>
            </c:spPr>
            <c:extLst xmlns:c16r2="http://schemas.microsoft.com/office/drawing/2015/06/chart">
              <c:ext xmlns:c16="http://schemas.microsoft.com/office/drawing/2014/chart" uri="{C3380CC4-5D6E-409C-BE32-E72D297353CC}">
                <c16:uniqueId val="{00000001-E1ED-4F9A-907B-808BCBFD1A94}"/>
              </c:ext>
            </c:extLst>
          </c:dPt>
          <c:dPt>
            <c:idx val="1"/>
            <c:bubble3D val="0"/>
            <c:spPr>
              <a:solidFill>
                <a:schemeClr val="accent6">
                  <a:lumMod val="75000"/>
                </a:schemeClr>
              </a:solidFill>
              <a:ln>
                <a:noFill/>
              </a:ln>
              <a:effectLst>
                <a:outerShdw blurRad="40000" dist="23000" dir="5400000" rotWithShape="0">
                  <a:srgbClr val="000000">
                    <a:alpha val="35000"/>
                  </a:srgbClr>
                </a:outerShdw>
              </a:effectLst>
            </c:spPr>
            <c:extLst xmlns:c16r2="http://schemas.microsoft.com/office/drawing/2015/06/chart">
              <c:ext xmlns:c16="http://schemas.microsoft.com/office/drawing/2014/chart" uri="{C3380CC4-5D6E-409C-BE32-E72D297353CC}">
                <c16:uniqueId val="{00000003-E1ED-4F9A-907B-808BCBFD1A94}"/>
              </c:ext>
            </c:extLst>
          </c:dPt>
          <c:dPt>
            <c:idx val="2"/>
            <c:bubble3D val="0"/>
            <c:spPr>
              <a:solidFill>
                <a:schemeClr val="accent4">
                  <a:lumMod val="60000"/>
                  <a:lumOff val="40000"/>
                </a:schemeClr>
              </a:solidFill>
              <a:ln>
                <a:noFill/>
              </a:ln>
              <a:effectLst>
                <a:outerShdw blurRad="40000" dist="23000" dir="5400000" rotWithShape="0">
                  <a:srgbClr val="000000">
                    <a:alpha val="35000"/>
                  </a:srgbClr>
                </a:outerShdw>
              </a:effectLst>
            </c:spPr>
            <c:extLst xmlns:c16r2="http://schemas.microsoft.com/office/drawing/2015/06/chart">
              <c:ext xmlns:c16="http://schemas.microsoft.com/office/drawing/2014/chart" uri="{C3380CC4-5D6E-409C-BE32-E72D297353CC}">
                <c16:uniqueId val="{00000005-E1ED-4F9A-907B-808BCBFD1A94}"/>
              </c:ext>
            </c:extLst>
          </c:dPt>
          <c:dPt>
            <c:idx val="3"/>
            <c:bubble3D val="0"/>
            <c:spPr>
              <a:solidFill>
                <a:schemeClr val="accent5">
                  <a:lumMod val="75000"/>
                </a:schemeClr>
              </a:solidFill>
              <a:ln>
                <a:noFill/>
              </a:ln>
              <a:effectLst>
                <a:outerShdw blurRad="40000" dist="23000" dir="5400000" rotWithShape="0">
                  <a:srgbClr val="000000">
                    <a:alpha val="35000"/>
                  </a:srgbClr>
                </a:outerShdw>
              </a:effectLst>
            </c:spPr>
            <c:extLst xmlns:c16r2="http://schemas.microsoft.com/office/drawing/2015/06/chart">
              <c:ext xmlns:c16="http://schemas.microsoft.com/office/drawing/2014/chart" uri="{C3380CC4-5D6E-409C-BE32-E72D297353CC}">
                <c16:uniqueId val="{00000006-3292-4CAE-8507-E8A041F4C6C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1"/>
            <c:showBubbleSize val="0"/>
            <c:showLeaderLines val="1"/>
            <c:leaderLines>
              <c:spPr>
                <a:ln w="9525">
                  <a:solidFill>
                    <a:schemeClr val="tx2">
                      <a:lumMod val="35000"/>
                      <a:lumOff val="65000"/>
                    </a:schemeClr>
                  </a:solidFill>
                </a:ln>
                <a:effectLst/>
              </c:spPr>
            </c:leaderLines>
            <c:extLst xmlns:c16r2="http://schemas.microsoft.com/office/drawing/2015/06/chart">
              <c:ext xmlns:c15="http://schemas.microsoft.com/office/drawing/2012/chart" uri="{CE6537A1-D6FC-4f65-9D91-7224C49458BB}"/>
            </c:extLst>
          </c:dLbls>
          <c:cat>
            <c:strRef>
              <c:f>'Inv Totals'!$B$6:$B$9</c:f>
              <c:strCache>
                <c:ptCount val="4"/>
                <c:pt idx="0">
                  <c:v>LIQUOR TOTAL</c:v>
                </c:pt>
                <c:pt idx="1">
                  <c:v>BEER TOTAL</c:v>
                </c:pt>
                <c:pt idx="2">
                  <c:v>WINE TOTAL</c:v>
                </c:pt>
                <c:pt idx="3">
                  <c:v>N/A BEV TOTAL</c:v>
                </c:pt>
              </c:strCache>
            </c:strRef>
          </c:cat>
          <c:val>
            <c:numRef>
              <c:f>'Inv Totals'!$C$6:$C$9</c:f>
              <c:numCache>
                <c:formatCode>_("$"* #,##0.00_);_("$"* \(#,##0.00\);_("$"* "-"??_);_(@_)</c:formatCode>
                <c:ptCount val="4"/>
                <c:pt idx="0">
                  <c:v>21454.32</c:v>
                </c:pt>
                <c:pt idx="1">
                  <c:v>1439.47</c:v>
                </c:pt>
                <c:pt idx="2">
                  <c:v>38144.33</c:v>
                </c:pt>
                <c:pt idx="3">
                  <c:v>4010.47</c:v>
                </c:pt>
              </c:numCache>
            </c:numRef>
          </c:val>
          <c:extLst xmlns:c16r2="http://schemas.microsoft.com/office/drawing/2015/06/chart">
            <c:ext xmlns:c16="http://schemas.microsoft.com/office/drawing/2014/chart" uri="{C3380CC4-5D6E-409C-BE32-E72D297353CC}">
              <c16:uniqueId val="{00000000-8083-43FF-B848-6123EC0247AE}"/>
            </c:ext>
          </c:extLst>
        </c:ser>
        <c:dLbls>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671512</xdr:colOff>
      <xdr:row>36</xdr:row>
      <xdr:rowOff>142876</xdr:rowOff>
    </xdr:from>
    <xdr:to>
      <xdr:col>5</xdr:col>
      <xdr:colOff>952500</xdr:colOff>
      <xdr:row>65</xdr:row>
      <xdr:rowOff>47625</xdr:rowOff>
    </xdr:to>
    <xdr:graphicFrame macro="">
      <xdr:nvGraphicFramePr>
        <xdr:cNvPr id="2" name="Chart 1">
          <a:extLst>
            <a:ext uri="{FF2B5EF4-FFF2-40B4-BE49-F238E27FC236}">
              <a16:creationId xmlns:a16="http://schemas.microsoft.com/office/drawing/2014/main" xmlns="" id="{2864420C-5BAB-C41F-1A2E-4491F2F78B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733424</xdr:colOff>
      <xdr:row>17</xdr:row>
      <xdr:rowOff>1</xdr:rowOff>
    </xdr:from>
    <xdr:to>
      <xdr:col>7</xdr:col>
      <xdr:colOff>85724</xdr:colOff>
      <xdr:row>36</xdr:row>
      <xdr:rowOff>123826</xdr:rowOff>
    </xdr:to>
    <xdr:graphicFrame macro="">
      <xdr:nvGraphicFramePr>
        <xdr:cNvPr id="3" name="Chart 2">
          <a:extLst>
            <a:ext uri="{FF2B5EF4-FFF2-40B4-BE49-F238E27FC236}">
              <a16:creationId xmlns:a16="http://schemas.microsoft.com/office/drawing/2014/main" xmlns="" id="{67FDB7A2-EFCA-B1D5-708C-C5D729A3BD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16</xdr:row>
      <xdr:rowOff>209548</xdr:rowOff>
    </xdr:from>
    <xdr:to>
      <xdr:col>3</xdr:col>
      <xdr:colOff>714375</xdr:colOff>
      <xdr:row>36</xdr:row>
      <xdr:rowOff>123823</xdr:rowOff>
    </xdr:to>
    <xdr:graphicFrame macro="">
      <xdr:nvGraphicFramePr>
        <xdr:cNvPr id="4" name="Chart 3">
          <a:extLst>
            <a:ext uri="{FF2B5EF4-FFF2-40B4-BE49-F238E27FC236}">
              <a16:creationId xmlns:a16="http://schemas.microsoft.com/office/drawing/2014/main" xmlns="" id="{CFD96BC0-9B4C-62B8-6D28-FB4198C7B89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2943225</xdr:colOff>
      <xdr:row>13</xdr:row>
      <xdr:rowOff>113030</xdr:rowOff>
    </xdr:from>
    <xdr:to>
      <xdr:col>8</xdr:col>
      <xdr:colOff>127317</xdr:colOff>
      <xdr:row>14</xdr:row>
      <xdr:rowOff>367030</xdr:rowOff>
    </xdr:to>
    <xdr:cxnSp macro="">
      <xdr:nvCxnSpPr>
        <xdr:cNvPr id="4" name="Connector: Elbow 3">
          <a:extLst>
            <a:ext uri="{FF2B5EF4-FFF2-40B4-BE49-F238E27FC236}">
              <a16:creationId xmlns:a16="http://schemas.microsoft.com/office/drawing/2014/main" xmlns="" id="{A37BE339-8E9D-48BF-8302-745D0C931903}"/>
            </a:ext>
          </a:extLst>
        </xdr:cNvPr>
        <xdr:cNvCxnSpPr/>
      </xdr:nvCxnSpPr>
      <xdr:spPr>
        <a:xfrm>
          <a:off x="2943225" y="4485005"/>
          <a:ext cx="6213792" cy="568325"/>
        </a:xfrm>
        <a:prstGeom prst="bentConnector3">
          <a:avLst>
            <a:gd name="adj1" fmla="val 3442"/>
          </a:avLst>
        </a:prstGeom>
        <a:ln w="28575">
          <a:solidFill>
            <a:srgbClr val="FF0000"/>
          </a:solidFill>
          <a:headEnd type="triangle"/>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7</xdr:col>
      <xdr:colOff>430530</xdr:colOff>
      <xdr:row>14</xdr:row>
      <xdr:rowOff>62546</xdr:rowOff>
    </xdr:from>
    <xdr:to>
      <xdr:col>12</xdr:col>
      <xdr:colOff>34925</xdr:colOff>
      <xdr:row>16</xdr:row>
      <xdr:rowOff>9525</xdr:rowOff>
    </xdr:to>
    <xdr:sp macro="" textlink="">
      <xdr:nvSpPr>
        <xdr:cNvPr id="5" name="TextBox 4">
          <a:extLst>
            <a:ext uri="{FF2B5EF4-FFF2-40B4-BE49-F238E27FC236}">
              <a16:creationId xmlns:a16="http://schemas.microsoft.com/office/drawing/2014/main" xmlns="" id="{3BDDF5BD-8F0B-4A9F-9176-B628B6CEA1D3}"/>
            </a:ext>
          </a:extLst>
        </xdr:cNvPr>
        <xdr:cNvSpPr txBox="1"/>
      </xdr:nvSpPr>
      <xdr:spPr>
        <a:xfrm>
          <a:off x="8850630" y="4748846"/>
          <a:ext cx="2652395" cy="642304"/>
        </a:xfrm>
        <a:prstGeom prst="rect">
          <a:avLst/>
        </a:prstGeom>
        <a:ln>
          <a:solidFill>
            <a:sysClr val="windowText" lastClr="000000"/>
          </a:solidFill>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r>
            <a:rPr lang="en-US" sz="1100">
              <a:solidFill>
                <a:srgbClr val="C00000"/>
              </a:solidFill>
            </a:rPr>
            <a:t>Special Feature Item cells are unlocked,</a:t>
          </a:r>
          <a:r>
            <a:rPr lang="en-US" sz="1100" baseline="0">
              <a:solidFill>
                <a:srgbClr val="C00000"/>
              </a:solidFill>
            </a:rPr>
            <a:t> can be change and </a:t>
          </a:r>
          <a:r>
            <a:rPr lang="en-US" sz="1100">
              <a:solidFill>
                <a:srgbClr val="C00000"/>
              </a:solidFill>
            </a:rPr>
            <a:t>update when have</a:t>
          </a:r>
          <a:r>
            <a:rPr lang="en-US" sz="1100" baseline="0">
              <a:solidFill>
                <a:srgbClr val="C00000"/>
              </a:solidFill>
            </a:rPr>
            <a:t> a new </a:t>
          </a:r>
          <a:r>
            <a:rPr lang="en-US" sz="1100">
              <a:solidFill>
                <a:srgbClr val="C00000"/>
              </a:solidFill>
            </a:rPr>
            <a:t>Feature item</a:t>
          </a:r>
        </a:p>
      </xdr:txBody>
    </xdr:sp>
    <xdr:clientData/>
  </xdr:twoCellAnchor>
  <xdr:twoCellAnchor>
    <xdr:from>
      <xdr:col>1</xdr:col>
      <xdr:colOff>609283</xdr:colOff>
      <xdr:row>2</xdr:row>
      <xdr:rowOff>504824</xdr:rowOff>
    </xdr:from>
    <xdr:to>
      <xdr:col>8</xdr:col>
      <xdr:colOff>476253</xdr:colOff>
      <xdr:row>2</xdr:row>
      <xdr:rowOff>728509</xdr:rowOff>
    </xdr:to>
    <xdr:sp macro="" textlink="">
      <xdr:nvSpPr>
        <xdr:cNvPr id="6" name="Arrow: Bent 5">
          <a:extLst>
            <a:ext uri="{FF2B5EF4-FFF2-40B4-BE49-F238E27FC236}">
              <a16:creationId xmlns:a16="http://schemas.microsoft.com/office/drawing/2014/main" xmlns="" id="{89017F57-F516-4B3E-82A9-BCB30A27BCB0}"/>
            </a:ext>
          </a:extLst>
        </xdr:cNvPr>
        <xdr:cNvSpPr/>
      </xdr:nvSpPr>
      <xdr:spPr>
        <a:xfrm rot="5400000" flipV="1">
          <a:off x="6526925" y="-1612343"/>
          <a:ext cx="223685" cy="5734370"/>
        </a:xfrm>
        <a:prstGeom prst="bentArrow">
          <a:avLst>
            <a:gd name="adj1" fmla="val 5555"/>
            <a:gd name="adj2" fmla="val 31945"/>
            <a:gd name="adj3" fmla="val 33334"/>
            <a:gd name="adj4" fmla="val 52083"/>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8</xdr:col>
      <xdr:colOff>394018</xdr:colOff>
      <xdr:row>2</xdr:row>
      <xdr:rowOff>219075</xdr:rowOff>
    </xdr:from>
    <xdr:to>
      <xdr:col>13</xdr:col>
      <xdr:colOff>259079</xdr:colOff>
      <xdr:row>2</xdr:row>
      <xdr:rowOff>531812</xdr:rowOff>
    </xdr:to>
    <xdr:sp macro="" textlink="">
      <xdr:nvSpPr>
        <xdr:cNvPr id="8" name="TextBox 7">
          <a:extLst>
            <a:ext uri="{FF2B5EF4-FFF2-40B4-BE49-F238E27FC236}">
              <a16:creationId xmlns:a16="http://schemas.microsoft.com/office/drawing/2014/main" xmlns="" id="{6247ACB3-3FEE-4B06-AACE-2A18B1BF416B}"/>
            </a:ext>
          </a:extLst>
        </xdr:cNvPr>
        <xdr:cNvSpPr txBox="1"/>
      </xdr:nvSpPr>
      <xdr:spPr>
        <a:xfrm>
          <a:off x="9423718" y="857250"/>
          <a:ext cx="2913061" cy="312737"/>
        </a:xfrm>
        <a:prstGeom prst="rect">
          <a:avLst/>
        </a:prstGeom>
        <a:ln>
          <a:solidFill>
            <a:sysClr val="windowText" lastClr="000000"/>
          </a:solidFill>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r>
            <a:rPr lang="en-US" sz="1200" b="1">
              <a:solidFill>
                <a:srgbClr val="C00000"/>
              </a:solidFill>
            </a:rPr>
            <a:t>Enter counting values in column B</a:t>
          </a:r>
        </a:p>
      </xdr:txBody>
    </xdr:sp>
    <xdr:clientData/>
  </xdr:twoCellAnchor>
  <xdr:twoCellAnchor>
    <xdr:from>
      <xdr:col>3</xdr:col>
      <xdr:colOff>453710</xdr:colOff>
      <xdr:row>2</xdr:row>
      <xdr:rowOff>638175</xdr:rowOff>
    </xdr:from>
    <xdr:to>
      <xdr:col>9</xdr:col>
      <xdr:colOff>57153</xdr:colOff>
      <xdr:row>2</xdr:row>
      <xdr:rowOff>735645</xdr:rowOff>
    </xdr:to>
    <xdr:sp macro="" textlink="">
      <xdr:nvSpPr>
        <xdr:cNvPr id="10" name="Arrow: Bent 9">
          <a:extLst>
            <a:ext uri="{FF2B5EF4-FFF2-40B4-BE49-F238E27FC236}">
              <a16:creationId xmlns:a16="http://schemas.microsoft.com/office/drawing/2014/main" xmlns="" id="{1DB1D97A-C06D-4702-B977-94F3B6FA0B82}"/>
            </a:ext>
          </a:extLst>
        </xdr:cNvPr>
        <xdr:cNvSpPr/>
      </xdr:nvSpPr>
      <xdr:spPr>
        <a:xfrm rot="5400000" flipV="1">
          <a:off x="7526659" y="-795974"/>
          <a:ext cx="97470" cy="4242118"/>
        </a:xfrm>
        <a:prstGeom prst="bentArrow">
          <a:avLst>
            <a:gd name="adj1" fmla="val 5555"/>
            <a:gd name="adj2" fmla="val 31945"/>
            <a:gd name="adj3" fmla="val 33334"/>
            <a:gd name="adj4" fmla="val 52083"/>
          </a:avLst>
        </a:prstGeom>
        <a:solidFill>
          <a:srgbClr val="FF00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8</xdr:col>
      <xdr:colOff>394970</xdr:colOff>
      <xdr:row>2</xdr:row>
      <xdr:rowOff>613728</xdr:rowOff>
    </xdr:from>
    <xdr:to>
      <xdr:col>12</xdr:col>
      <xdr:colOff>220344</xdr:colOff>
      <xdr:row>3</xdr:row>
      <xdr:rowOff>161925</xdr:rowOff>
    </xdr:to>
    <xdr:sp macro="" textlink="">
      <xdr:nvSpPr>
        <xdr:cNvPr id="11" name="TextBox 10">
          <a:extLst>
            <a:ext uri="{FF2B5EF4-FFF2-40B4-BE49-F238E27FC236}">
              <a16:creationId xmlns:a16="http://schemas.microsoft.com/office/drawing/2014/main" xmlns="" id="{4C4FF8CB-75FD-4BE7-8726-57F5E85C7769}"/>
            </a:ext>
          </a:extLst>
        </xdr:cNvPr>
        <xdr:cNvSpPr txBox="1"/>
      </xdr:nvSpPr>
      <xdr:spPr>
        <a:xfrm>
          <a:off x="9424670" y="1251903"/>
          <a:ext cx="2263774" cy="310197"/>
        </a:xfrm>
        <a:prstGeom prst="rect">
          <a:avLst/>
        </a:prstGeom>
        <a:ln>
          <a:solidFill>
            <a:sysClr val="windowText" lastClr="000000"/>
          </a:solidFill>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r>
            <a:rPr lang="en-US" sz="1200" b="1">
              <a:solidFill>
                <a:srgbClr val="C00000"/>
              </a:solidFill>
            </a:rPr>
            <a:t>Update prices in column 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1198244</xdr:colOff>
      <xdr:row>11</xdr:row>
      <xdr:rowOff>41908</xdr:rowOff>
    </xdr:from>
    <xdr:to>
      <xdr:col>12</xdr:col>
      <xdr:colOff>19050</xdr:colOff>
      <xdr:row>17</xdr:row>
      <xdr:rowOff>85725</xdr:rowOff>
    </xdr:to>
    <xdr:cxnSp macro="">
      <xdr:nvCxnSpPr>
        <xdr:cNvPr id="11" name="Connector: Elbow 10">
          <a:extLst>
            <a:ext uri="{FF2B5EF4-FFF2-40B4-BE49-F238E27FC236}">
              <a16:creationId xmlns:a16="http://schemas.microsoft.com/office/drawing/2014/main" xmlns="" id="{0763C1CF-B92E-EB28-D50C-7FC2EBBDD531}"/>
            </a:ext>
          </a:extLst>
        </xdr:cNvPr>
        <xdr:cNvCxnSpPr/>
      </xdr:nvCxnSpPr>
      <xdr:spPr>
        <a:xfrm>
          <a:off x="1379219" y="1880233"/>
          <a:ext cx="8145781" cy="1053467"/>
        </a:xfrm>
        <a:prstGeom prst="bentConnector3">
          <a:avLst>
            <a:gd name="adj1" fmla="val 3812"/>
          </a:avLst>
        </a:prstGeom>
        <a:ln w="28575">
          <a:solidFill>
            <a:srgbClr val="FF0000"/>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1047750</xdr:colOff>
      <xdr:row>8</xdr:row>
      <xdr:rowOff>38100</xdr:rowOff>
    </xdr:from>
    <xdr:to>
      <xdr:col>1</xdr:col>
      <xdr:colOff>1192530</xdr:colOff>
      <xdr:row>14</xdr:row>
      <xdr:rowOff>9525</xdr:rowOff>
    </xdr:to>
    <xdr:sp macro="" textlink="">
      <xdr:nvSpPr>
        <xdr:cNvPr id="17" name="Right Brace 16">
          <a:extLst>
            <a:ext uri="{FF2B5EF4-FFF2-40B4-BE49-F238E27FC236}">
              <a16:creationId xmlns:a16="http://schemas.microsoft.com/office/drawing/2014/main" xmlns="" id="{9352FAE8-9CF6-E83C-F994-2626C4EF8C2C}"/>
            </a:ext>
          </a:extLst>
        </xdr:cNvPr>
        <xdr:cNvSpPr/>
      </xdr:nvSpPr>
      <xdr:spPr>
        <a:xfrm>
          <a:off x="1228725" y="1400175"/>
          <a:ext cx="144780" cy="942975"/>
        </a:xfrm>
        <a:prstGeom prst="rightBrac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11</xdr:col>
      <xdr:colOff>45720</xdr:colOff>
      <xdr:row>16</xdr:row>
      <xdr:rowOff>106680</xdr:rowOff>
    </xdr:from>
    <xdr:to>
      <xdr:col>14</xdr:col>
      <xdr:colOff>180975</xdr:colOff>
      <xdr:row>20</xdr:row>
      <xdr:rowOff>66675</xdr:rowOff>
    </xdr:to>
    <xdr:sp macro="" textlink="">
      <xdr:nvSpPr>
        <xdr:cNvPr id="20" name="TextBox 19">
          <a:extLst>
            <a:ext uri="{FF2B5EF4-FFF2-40B4-BE49-F238E27FC236}">
              <a16:creationId xmlns:a16="http://schemas.microsoft.com/office/drawing/2014/main" xmlns="" id="{DFACEA02-623C-4EF7-95F8-8CA1D61A875D}"/>
            </a:ext>
          </a:extLst>
        </xdr:cNvPr>
        <xdr:cNvSpPr txBox="1"/>
      </xdr:nvSpPr>
      <xdr:spPr>
        <a:xfrm>
          <a:off x="9551670" y="2754630"/>
          <a:ext cx="1906905" cy="645795"/>
        </a:xfrm>
        <a:prstGeom prst="rect">
          <a:avLst/>
        </a:prstGeom>
        <a:ln>
          <a:solidFill>
            <a:sysClr val="windowText" lastClr="000000"/>
          </a:solidFill>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r>
            <a:rPr lang="en-US" sz="1100">
              <a:solidFill>
                <a:srgbClr val="C00000"/>
              </a:solidFill>
            </a:rPr>
            <a:t>This cell is unlocked ,</a:t>
          </a:r>
          <a:r>
            <a:rPr lang="en-US" sz="1100" baseline="0">
              <a:solidFill>
                <a:srgbClr val="C00000"/>
              </a:solidFill>
            </a:rPr>
            <a:t> can be change and </a:t>
          </a:r>
          <a:r>
            <a:rPr lang="en-US" sz="1100">
              <a:solidFill>
                <a:srgbClr val="C00000"/>
              </a:solidFill>
            </a:rPr>
            <a:t>update for the local suppliers</a:t>
          </a:r>
        </a:p>
      </xdr:txBody>
    </xdr:sp>
    <xdr:clientData/>
  </xdr:twoCellAnchor>
  <xdr:twoCellAnchor>
    <xdr:from>
      <xdr:col>10</xdr:col>
      <xdr:colOff>152400</xdr:colOff>
      <xdr:row>0</xdr:row>
      <xdr:rowOff>57150</xdr:rowOff>
    </xdr:from>
    <xdr:to>
      <xdr:col>18</xdr:col>
      <xdr:colOff>104776</xdr:colOff>
      <xdr:row>3</xdr:row>
      <xdr:rowOff>114300</xdr:rowOff>
    </xdr:to>
    <xdr:sp macro="" textlink="">
      <xdr:nvSpPr>
        <xdr:cNvPr id="2" name="TextBox 1">
          <a:extLst>
            <a:ext uri="{FF2B5EF4-FFF2-40B4-BE49-F238E27FC236}">
              <a16:creationId xmlns:a16="http://schemas.microsoft.com/office/drawing/2014/main" xmlns="" id="{5FD7C1F2-796F-4AC8-BBDE-8B3781689F77}"/>
            </a:ext>
          </a:extLst>
        </xdr:cNvPr>
        <xdr:cNvSpPr txBox="1"/>
      </xdr:nvSpPr>
      <xdr:spPr>
        <a:xfrm>
          <a:off x="8629650" y="57150"/>
          <a:ext cx="4676776" cy="552450"/>
        </a:xfrm>
        <a:prstGeom prst="rect">
          <a:avLst/>
        </a:prstGeom>
        <a:ln>
          <a:solidFill>
            <a:sysClr val="windowText" lastClr="000000"/>
          </a:solidFill>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r>
            <a:rPr lang="en-US" sz="1100" b="1" i="0">
              <a:solidFill>
                <a:srgbClr val="FF0000"/>
              </a:solidFill>
              <a:effectLst/>
              <a:latin typeface="+mn-lt"/>
              <a:ea typeface="+mn-ea"/>
              <a:cs typeface="+mn-cs"/>
            </a:rPr>
            <a:t>input the date that corresponds to the first Monday at the start of the month. For example, in</a:t>
          </a:r>
          <a:r>
            <a:rPr lang="en-US" sz="1100" b="1" i="0" baseline="0">
              <a:solidFill>
                <a:srgbClr val="FF0000"/>
              </a:solidFill>
              <a:effectLst/>
              <a:latin typeface="+mn-lt"/>
              <a:ea typeface="+mn-ea"/>
              <a:cs typeface="+mn-cs"/>
            </a:rPr>
            <a:t> October </a:t>
          </a:r>
          <a:r>
            <a:rPr lang="en-US" sz="1100" b="1" i="0">
              <a:solidFill>
                <a:srgbClr val="FF0000"/>
              </a:solidFill>
              <a:effectLst/>
              <a:latin typeface="+mn-lt"/>
              <a:ea typeface="+mn-ea"/>
              <a:cs typeface="+mn-cs"/>
            </a:rPr>
            <a:t>2023, the first Monday fell on 07/25/2023.</a:t>
          </a:r>
          <a:endParaRPr lang="en-US" sz="1100" b="1">
            <a:solidFill>
              <a:srgbClr val="FF0000"/>
            </a:solidFill>
          </a:endParaRPr>
        </a:p>
      </xdr:txBody>
    </xdr:sp>
    <xdr:clientData/>
  </xdr:twoCellAnchor>
  <xdr:twoCellAnchor>
    <xdr:from>
      <xdr:col>8</xdr:col>
      <xdr:colOff>28575</xdr:colOff>
      <xdr:row>1</xdr:row>
      <xdr:rowOff>152400</xdr:rowOff>
    </xdr:from>
    <xdr:to>
      <xdr:col>10</xdr:col>
      <xdr:colOff>142875</xdr:colOff>
      <xdr:row>1</xdr:row>
      <xdr:rowOff>152400</xdr:rowOff>
    </xdr:to>
    <xdr:cxnSp macro="">
      <xdr:nvCxnSpPr>
        <xdr:cNvPr id="4" name="Straight Arrow Connector 3">
          <a:extLst>
            <a:ext uri="{FF2B5EF4-FFF2-40B4-BE49-F238E27FC236}">
              <a16:creationId xmlns:a16="http://schemas.microsoft.com/office/drawing/2014/main" xmlns="" id="{9ED641FC-774C-F567-A2A2-931AA5C79CB2}"/>
            </a:ext>
          </a:extLst>
        </xdr:cNvPr>
        <xdr:cNvCxnSpPr/>
      </xdr:nvCxnSpPr>
      <xdr:spPr>
        <a:xfrm>
          <a:off x="6496050" y="323850"/>
          <a:ext cx="2124075" cy="0"/>
        </a:xfrm>
        <a:prstGeom prst="straightConnector1">
          <a:avLst/>
        </a:prstGeom>
        <a:ln w="5715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45720</xdr:colOff>
      <xdr:row>2</xdr:row>
      <xdr:rowOff>198119</xdr:rowOff>
    </xdr:from>
    <xdr:to>
      <xdr:col>17</xdr:col>
      <xdr:colOff>579120</xdr:colOff>
      <xdr:row>34</xdr:row>
      <xdr:rowOff>111918</xdr:rowOff>
    </xdr:to>
    <xdr:sp macro="" textlink="">
      <xdr:nvSpPr>
        <xdr:cNvPr id="2" name="Right Brace 1">
          <a:extLst>
            <a:ext uri="{FF2B5EF4-FFF2-40B4-BE49-F238E27FC236}">
              <a16:creationId xmlns:a16="http://schemas.microsoft.com/office/drawing/2014/main" xmlns="" id="{1D8B2568-E7A5-40F8-823F-947A1CF2E8DF}"/>
            </a:ext>
          </a:extLst>
        </xdr:cNvPr>
        <xdr:cNvSpPr/>
      </xdr:nvSpPr>
      <xdr:spPr>
        <a:xfrm>
          <a:off x="20686395" y="1769744"/>
          <a:ext cx="533400" cy="8486299"/>
        </a:xfrm>
        <a:prstGeom prst="rightBrace">
          <a:avLst/>
        </a:prstGeom>
        <a:ln w="50800">
          <a:solidFill>
            <a:srgbClr val="FF0000"/>
          </a:solidFill>
        </a:ln>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en-US" sz="1100"/>
        </a:p>
      </xdr:txBody>
    </xdr:sp>
    <xdr:clientData/>
  </xdr:twoCellAnchor>
  <xdr:twoCellAnchor>
    <xdr:from>
      <xdr:col>4</xdr:col>
      <xdr:colOff>58209</xdr:colOff>
      <xdr:row>55</xdr:row>
      <xdr:rowOff>342901</xdr:rowOff>
    </xdr:from>
    <xdr:to>
      <xdr:col>4</xdr:col>
      <xdr:colOff>591609</xdr:colOff>
      <xdr:row>55</xdr:row>
      <xdr:rowOff>352426</xdr:rowOff>
    </xdr:to>
    <xdr:cxnSp macro="">
      <xdr:nvCxnSpPr>
        <xdr:cNvPr id="3" name="Straight Arrow Connector 2">
          <a:extLst>
            <a:ext uri="{FF2B5EF4-FFF2-40B4-BE49-F238E27FC236}">
              <a16:creationId xmlns:a16="http://schemas.microsoft.com/office/drawing/2014/main" xmlns="" id="{2DF630CB-A47A-41F1-9374-47D51D9151EE}"/>
            </a:ext>
          </a:extLst>
        </xdr:cNvPr>
        <xdr:cNvCxnSpPr/>
      </xdr:nvCxnSpPr>
      <xdr:spPr>
        <a:xfrm flipH="1" flipV="1">
          <a:off x="5068359" y="20821651"/>
          <a:ext cx="533400" cy="9525"/>
        </a:xfrm>
        <a:prstGeom prst="straightConnector1">
          <a:avLst/>
        </a:prstGeom>
        <a:ln w="76200">
          <a:solidFill>
            <a:srgbClr val="C00000"/>
          </a:solidFill>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4</xdr:col>
      <xdr:colOff>70802</xdr:colOff>
      <xdr:row>56</xdr:row>
      <xdr:rowOff>244370</xdr:rowOff>
    </xdr:from>
    <xdr:to>
      <xdr:col>4</xdr:col>
      <xdr:colOff>604202</xdr:colOff>
      <xdr:row>56</xdr:row>
      <xdr:rowOff>244370</xdr:rowOff>
    </xdr:to>
    <xdr:cxnSp macro="">
      <xdr:nvCxnSpPr>
        <xdr:cNvPr id="4" name="Straight Arrow Connector 3">
          <a:extLst>
            <a:ext uri="{FF2B5EF4-FFF2-40B4-BE49-F238E27FC236}">
              <a16:creationId xmlns:a16="http://schemas.microsoft.com/office/drawing/2014/main" xmlns="" id="{610DC21B-8313-4CD9-A6C1-C9542FBE1998}"/>
            </a:ext>
          </a:extLst>
        </xdr:cNvPr>
        <xdr:cNvCxnSpPr/>
      </xdr:nvCxnSpPr>
      <xdr:spPr>
        <a:xfrm flipH="1">
          <a:off x="5080952" y="21370820"/>
          <a:ext cx="533400" cy="0"/>
        </a:xfrm>
        <a:prstGeom prst="straightConnector1">
          <a:avLst/>
        </a:prstGeom>
        <a:ln w="76200">
          <a:solidFill>
            <a:srgbClr val="C00000"/>
          </a:solidFill>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4</xdr:col>
      <xdr:colOff>462492</xdr:colOff>
      <xdr:row>54</xdr:row>
      <xdr:rowOff>80434</xdr:rowOff>
    </xdr:from>
    <xdr:to>
      <xdr:col>5</xdr:col>
      <xdr:colOff>867834</xdr:colOff>
      <xdr:row>57</xdr:row>
      <xdr:rowOff>508002</xdr:rowOff>
    </xdr:to>
    <xdr:sp macro="" textlink="">
      <xdr:nvSpPr>
        <xdr:cNvPr id="7" name="TextBox 6">
          <a:extLst>
            <a:ext uri="{FF2B5EF4-FFF2-40B4-BE49-F238E27FC236}">
              <a16:creationId xmlns:a16="http://schemas.microsoft.com/office/drawing/2014/main" xmlns="" id="{6630040C-62D1-4107-BB67-0A8E3DD54A2D}"/>
            </a:ext>
          </a:extLst>
        </xdr:cNvPr>
        <xdr:cNvSpPr txBox="1"/>
      </xdr:nvSpPr>
      <xdr:spPr>
        <a:xfrm>
          <a:off x="5472642" y="20282959"/>
          <a:ext cx="1700742" cy="1875368"/>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r>
            <a:rPr lang="en-US" sz="1200" b="1" u="sng">
              <a:solidFill>
                <a:srgbClr val="FF0000"/>
              </a:solidFill>
            </a:rPr>
            <a:t>*INSERT FULL</a:t>
          </a:r>
          <a:r>
            <a:rPr lang="en-US" sz="1200" b="1" u="sng" baseline="0">
              <a:solidFill>
                <a:srgbClr val="FF0000"/>
              </a:solidFill>
            </a:rPr>
            <a:t> LUNCH ONLY</a:t>
          </a:r>
          <a:r>
            <a:rPr lang="en-US" sz="1100"/>
            <a:t>(do not count light dinner/lunch or kids $5), Ask the GM for this cover numbers.</a:t>
          </a:r>
        </a:p>
        <a:p>
          <a:pPr marL="0" marR="0" lvl="0" indent="0" defTabSz="914400" eaLnBrk="1" fontAlgn="auto" latinLnBrk="0" hangingPunct="1">
            <a:lnSpc>
              <a:spcPct val="100000"/>
            </a:lnSpc>
            <a:spcBef>
              <a:spcPts val="0"/>
            </a:spcBef>
            <a:spcAft>
              <a:spcPts val="0"/>
            </a:spcAft>
            <a:buClrTx/>
            <a:buSzTx/>
            <a:buFontTx/>
            <a:buNone/>
            <a:tabLst/>
            <a:defRPr/>
          </a:pPr>
          <a:r>
            <a:rPr lang="en-US" sz="1100" b="1" u="sng">
              <a:solidFill>
                <a:srgbClr val="FF0000"/>
              </a:solidFill>
              <a:effectLst/>
              <a:latin typeface="+mn-lt"/>
              <a:ea typeface="+mn-ea"/>
              <a:cs typeface="+mn-cs"/>
            </a:rPr>
            <a:t>*INSERT FULL</a:t>
          </a:r>
          <a:r>
            <a:rPr lang="en-US" sz="1100" b="1" u="sng" baseline="0">
              <a:solidFill>
                <a:srgbClr val="FF0000"/>
              </a:solidFill>
              <a:effectLst/>
              <a:latin typeface="+mn-lt"/>
              <a:ea typeface="+mn-ea"/>
              <a:cs typeface="+mn-cs"/>
            </a:rPr>
            <a:t> DINNER ONLY</a:t>
          </a:r>
          <a:r>
            <a:rPr lang="en-US" sz="1100">
              <a:solidFill>
                <a:schemeClr val="dk1"/>
              </a:solidFill>
              <a:effectLst/>
              <a:latin typeface="+mn-lt"/>
              <a:ea typeface="+mn-ea"/>
              <a:cs typeface="+mn-cs"/>
            </a:rPr>
            <a:t>(do not count light dinner/lunch or kids $5), Ask the GM for this cover numbers.</a:t>
          </a:r>
          <a:endParaRPr lang="en-US">
            <a:effectLst/>
          </a:endParaRPr>
        </a:p>
        <a:p>
          <a:endParaRPr lang="en-US" sz="1100"/>
        </a:p>
      </xdr:txBody>
    </xdr:sp>
    <xdr:clientData/>
  </xdr:twoCellAnchor>
  <xdr:twoCellAnchor>
    <xdr:from>
      <xdr:col>18</xdr:col>
      <xdr:colOff>352426</xdr:colOff>
      <xdr:row>14</xdr:row>
      <xdr:rowOff>95250</xdr:rowOff>
    </xdr:from>
    <xdr:to>
      <xdr:col>21</xdr:col>
      <xdr:colOff>142876</xdr:colOff>
      <xdr:row>23</xdr:row>
      <xdr:rowOff>123825</xdr:rowOff>
    </xdr:to>
    <xdr:sp macro="" textlink="">
      <xdr:nvSpPr>
        <xdr:cNvPr id="8" name="TextBox 7">
          <a:extLst>
            <a:ext uri="{FF2B5EF4-FFF2-40B4-BE49-F238E27FC236}">
              <a16:creationId xmlns:a16="http://schemas.microsoft.com/office/drawing/2014/main" xmlns="" id="{02AD1224-2FCC-40E3-8BF5-2C65E7785B1B}"/>
            </a:ext>
          </a:extLst>
        </xdr:cNvPr>
        <xdr:cNvSpPr txBox="1"/>
      </xdr:nvSpPr>
      <xdr:spPr>
        <a:xfrm>
          <a:off x="21650326" y="4905375"/>
          <a:ext cx="1762125" cy="2428875"/>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r>
            <a:rPr lang="en-US" sz="1600" b="1" u="sng">
              <a:solidFill>
                <a:srgbClr val="FF0000"/>
              </a:solidFill>
            </a:rPr>
            <a:t>insert the pound of meat that you bought per day in every type of meat </a:t>
          </a:r>
          <a:r>
            <a:rPr lang="en-US" sz="1600" b="1">
              <a:solidFill>
                <a:sysClr val="windowText" lastClr="000000"/>
              </a:solidFill>
            </a:rPr>
            <a:t>, take the number from the invoice </a:t>
          </a:r>
        </a:p>
      </xdr:txBody>
    </xdr:sp>
    <xdr:clientData/>
  </xdr:twoCellAnchor>
  <xdr:twoCellAnchor>
    <xdr:from>
      <xdr:col>17</xdr:col>
      <xdr:colOff>728663</xdr:colOff>
      <xdr:row>18</xdr:row>
      <xdr:rowOff>166687</xdr:rowOff>
    </xdr:from>
    <xdr:to>
      <xdr:col>18</xdr:col>
      <xdr:colOff>252413</xdr:colOff>
      <xdr:row>18</xdr:row>
      <xdr:rowOff>176212</xdr:rowOff>
    </xdr:to>
    <xdr:cxnSp macro="">
      <xdr:nvCxnSpPr>
        <xdr:cNvPr id="11" name="Straight Arrow Connector 10">
          <a:extLst>
            <a:ext uri="{FF2B5EF4-FFF2-40B4-BE49-F238E27FC236}">
              <a16:creationId xmlns:a16="http://schemas.microsoft.com/office/drawing/2014/main" xmlns="" id="{65E4BD47-D567-4767-9C22-1CA010C41CBD}"/>
            </a:ext>
          </a:extLst>
        </xdr:cNvPr>
        <xdr:cNvCxnSpPr/>
      </xdr:nvCxnSpPr>
      <xdr:spPr>
        <a:xfrm flipV="1">
          <a:off x="21293138" y="6043612"/>
          <a:ext cx="257175" cy="9525"/>
        </a:xfrm>
        <a:prstGeom prst="straightConnector1">
          <a:avLst/>
        </a:prstGeom>
        <a:ln w="76200">
          <a:solidFill>
            <a:srgbClr val="C00000"/>
          </a:solidFill>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2</xdr:col>
      <xdr:colOff>16900</xdr:colOff>
      <xdr:row>37</xdr:row>
      <xdr:rowOff>0</xdr:rowOff>
    </xdr:from>
    <xdr:to>
      <xdr:col>4</xdr:col>
      <xdr:colOff>1329868</xdr:colOff>
      <xdr:row>37</xdr:row>
      <xdr:rowOff>701182</xdr:rowOff>
    </xdr:to>
    <xdr:sp macro="" textlink="">
      <xdr:nvSpPr>
        <xdr:cNvPr id="12" name="TextBox 11">
          <a:extLst>
            <a:ext uri="{FF2B5EF4-FFF2-40B4-BE49-F238E27FC236}">
              <a16:creationId xmlns:a16="http://schemas.microsoft.com/office/drawing/2014/main" xmlns="" id="{CCE460FA-C600-452D-90D7-248CEE920FE2}"/>
            </a:ext>
          </a:extLst>
        </xdr:cNvPr>
        <xdr:cNvSpPr txBox="1"/>
      </xdr:nvSpPr>
      <xdr:spPr>
        <a:xfrm>
          <a:off x="1836175" y="11401425"/>
          <a:ext cx="4465743" cy="701182"/>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r>
            <a:rPr lang="en-US" sz="1050"/>
            <a:t>*</a:t>
          </a:r>
          <a:r>
            <a:rPr lang="en-US" sz="1200" b="1" u="sng">
              <a:solidFill>
                <a:srgbClr val="FF0000"/>
              </a:solidFill>
            </a:rPr>
            <a:t>INSERT INITIAL AND</a:t>
          </a:r>
          <a:r>
            <a:rPr lang="en-US" sz="1200" b="1" u="sng" baseline="0">
              <a:solidFill>
                <a:srgbClr val="FF0000"/>
              </a:solidFill>
            </a:rPr>
            <a:t> FINAL INVENTORY </a:t>
          </a:r>
          <a:r>
            <a:rPr lang="en-US" sz="1050" baseline="0"/>
            <a:t>OF EVERY MEATS CATEGORY </a:t>
          </a:r>
        </a:p>
        <a:p>
          <a:r>
            <a:rPr lang="en-US" sz="1200" b="1" u="sng" baseline="0">
              <a:solidFill>
                <a:srgbClr val="FF0000"/>
              </a:solidFill>
            </a:rPr>
            <a:t>*CATERING EVENTS </a:t>
          </a:r>
          <a:r>
            <a:rPr lang="en-US" sz="1050" baseline="0"/>
            <a:t>:WILL BE USE ONLY FOR THE QUANTITY OF MEATS THAT YOUR RESTAURANT USED FOR THE SPECIAL </a:t>
          </a:r>
          <a:r>
            <a:rPr lang="en-US" sz="1050" b="1" u="sng" baseline="0">
              <a:solidFill>
                <a:srgbClr val="FF0000"/>
              </a:solidFill>
            </a:rPr>
            <a:t>FREE EVENTS IN YOUR AREA</a:t>
          </a:r>
          <a:endParaRPr lang="en-US" sz="1050" b="1" u="sng">
            <a:solidFill>
              <a:srgbClr val="FF0000"/>
            </a:solidFill>
          </a:endParaRPr>
        </a:p>
      </xdr:txBody>
    </xdr:sp>
    <xdr:clientData/>
  </xdr:twoCellAnchor>
  <xdr:twoCellAnchor>
    <xdr:from>
      <xdr:col>2</xdr:col>
      <xdr:colOff>767778</xdr:colOff>
      <xdr:row>37</xdr:row>
      <xdr:rowOff>796119</xdr:rowOff>
    </xdr:from>
    <xdr:to>
      <xdr:col>2</xdr:col>
      <xdr:colOff>773373</xdr:colOff>
      <xdr:row>38</xdr:row>
      <xdr:rowOff>396418</xdr:rowOff>
    </xdr:to>
    <xdr:cxnSp macro="">
      <xdr:nvCxnSpPr>
        <xdr:cNvPr id="13" name="Straight Arrow Connector 12">
          <a:extLst>
            <a:ext uri="{FF2B5EF4-FFF2-40B4-BE49-F238E27FC236}">
              <a16:creationId xmlns:a16="http://schemas.microsoft.com/office/drawing/2014/main" xmlns="" id="{8CEC0C81-2157-450E-9DF7-F45AFBDA804A}"/>
            </a:ext>
          </a:extLst>
        </xdr:cNvPr>
        <xdr:cNvCxnSpPr/>
      </xdr:nvCxnSpPr>
      <xdr:spPr>
        <a:xfrm flipH="1">
          <a:off x="2587053" y="12197544"/>
          <a:ext cx="5595" cy="514699"/>
        </a:xfrm>
        <a:prstGeom prst="straightConnector1">
          <a:avLst/>
        </a:prstGeom>
        <a:ln w="79375">
          <a:solidFill>
            <a:srgbClr val="C00000"/>
          </a:solidFill>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15</xdr:col>
      <xdr:colOff>870857</xdr:colOff>
      <xdr:row>1</xdr:row>
      <xdr:rowOff>9525</xdr:rowOff>
    </xdr:from>
    <xdr:to>
      <xdr:col>17</xdr:col>
      <xdr:colOff>123826</xdr:colOff>
      <xdr:row>2</xdr:row>
      <xdr:rowOff>47625</xdr:rowOff>
    </xdr:to>
    <xdr:sp macro="" textlink="">
      <xdr:nvSpPr>
        <xdr:cNvPr id="14" name="Oval 13">
          <a:extLst>
            <a:ext uri="{FF2B5EF4-FFF2-40B4-BE49-F238E27FC236}">
              <a16:creationId xmlns:a16="http://schemas.microsoft.com/office/drawing/2014/main" xmlns="" id="{847C0218-CA7E-4612-9068-9E1C872C5D49}"/>
            </a:ext>
          </a:extLst>
        </xdr:cNvPr>
        <xdr:cNvSpPr/>
      </xdr:nvSpPr>
      <xdr:spPr>
        <a:xfrm>
          <a:off x="19177907" y="657225"/>
          <a:ext cx="1586594" cy="962025"/>
        </a:xfrm>
        <a:prstGeom prst="ellipse">
          <a:avLst/>
        </a:prstGeom>
        <a:no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202406</xdr:colOff>
      <xdr:row>1</xdr:row>
      <xdr:rowOff>390525</xdr:rowOff>
    </xdr:from>
    <xdr:to>
      <xdr:col>18</xdr:col>
      <xdr:colOff>0</xdr:colOff>
      <xdr:row>1</xdr:row>
      <xdr:rowOff>419100</xdr:rowOff>
    </xdr:to>
    <xdr:cxnSp macro="">
      <xdr:nvCxnSpPr>
        <xdr:cNvPr id="15" name="Straight Arrow Connector 14">
          <a:extLst>
            <a:ext uri="{FF2B5EF4-FFF2-40B4-BE49-F238E27FC236}">
              <a16:creationId xmlns:a16="http://schemas.microsoft.com/office/drawing/2014/main" xmlns="" id="{824B168F-2B4F-4C3B-ACAB-B93FCB10861E}"/>
            </a:ext>
          </a:extLst>
        </xdr:cNvPr>
        <xdr:cNvCxnSpPr/>
      </xdr:nvCxnSpPr>
      <xdr:spPr>
        <a:xfrm>
          <a:off x="20843081" y="1038225"/>
          <a:ext cx="454819" cy="28575"/>
        </a:xfrm>
        <a:prstGeom prst="straightConnector1">
          <a:avLst/>
        </a:prstGeom>
        <a:ln w="76200">
          <a:solidFill>
            <a:srgbClr val="C00000"/>
          </a:solidFill>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18</xdr:col>
      <xdr:colOff>11907</xdr:colOff>
      <xdr:row>0</xdr:row>
      <xdr:rowOff>642935</xdr:rowOff>
    </xdr:from>
    <xdr:to>
      <xdr:col>20</xdr:col>
      <xdr:colOff>326571</xdr:colOff>
      <xdr:row>4</xdr:row>
      <xdr:rowOff>206829</xdr:rowOff>
    </xdr:to>
    <xdr:sp macro="" textlink="">
      <xdr:nvSpPr>
        <xdr:cNvPr id="16" name="TextBox 15">
          <a:extLst>
            <a:ext uri="{FF2B5EF4-FFF2-40B4-BE49-F238E27FC236}">
              <a16:creationId xmlns:a16="http://schemas.microsoft.com/office/drawing/2014/main" xmlns="" id="{776F9F9C-D73B-4348-86B0-BC18B6ECC638}"/>
            </a:ext>
          </a:extLst>
        </xdr:cNvPr>
        <xdr:cNvSpPr txBox="1"/>
      </xdr:nvSpPr>
      <xdr:spPr>
        <a:xfrm>
          <a:off x="21309807" y="642935"/>
          <a:ext cx="1629114" cy="1707019"/>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t"/>
        <a:lstStyle/>
        <a:p>
          <a:r>
            <a:rPr lang="en-US" sz="1600" b="1" u="sng">
              <a:solidFill>
                <a:sysClr val="windowText" lastClr="000000"/>
              </a:solidFill>
            </a:rPr>
            <a:t>This cell will be unlocked</a:t>
          </a:r>
          <a:r>
            <a:rPr lang="en-US" sz="1600" b="1" u="sng" baseline="0">
              <a:solidFill>
                <a:sysClr val="windowText" lastClr="000000"/>
              </a:solidFill>
            </a:rPr>
            <a:t> to be able change any update about the new sepcial feature items.</a:t>
          </a:r>
          <a:endParaRPr lang="en-US" sz="1600" b="1">
            <a:solidFill>
              <a:sysClr val="windowText" lastClr="000000"/>
            </a:solidFill>
          </a:endParaRPr>
        </a:p>
      </xdr:txBody>
    </xdr:sp>
    <xdr:clientData/>
  </xdr:twoCellAnchor>
  <xdr:twoCellAnchor>
    <xdr:from>
      <xdr:col>4</xdr:col>
      <xdr:colOff>648269</xdr:colOff>
      <xdr:row>37</xdr:row>
      <xdr:rowOff>841612</xdr:rowOff>
    </xdr:from>
    <xdr:to>
      <xdr:col>4</xdr:col>
      <xdr:colOff>669653</xdr:colOff>
      <xdr:row>38</xdr:row>
      <xdr:rowOff>461466</xdr:rowOff>
    </xdr:to>
    <xdr:cxnSp macro="">
      <xdr:nvCxnSpPr>
        <xdr:cNvPr id="17" name="Straight Arrow Connector 16">
          <a:extLst>
            <a:ext uri="{FF2B5EF4-FFF2-40B4-BE49-F238E27FC236}">
              <a16:creationId xmlns:a16="http://schemas.microsoft.com/office/drawing/2014/main" xmlns="" id="{961BAB00-30CA-4513-BEF4-27998B4DBED9}"/>
            </a:ext>
          </a:extLst>
        </xdr:cNvPr>
        <xdr:cNvCxnSpPr/>
      </xdr:nvCxnSpPr>
      <xdr:spPr>
        <a:xfrm>
          <a:off x="5658419" y="12243037"/>
          <a:ext cx="21384" cy="534254"/>
        </a:xfrm>
        <a:prstGeom prst="straightConnector1">
          <a:avLst/>
        </a:prstGeom>
        <a:ln w="79375">
          <a:solidFill>
            <a:srgbClr val="C00000"/>
          </a:solidFill>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3</xdr:col>
      <xdr:colOff>873864</xdr:colOff>
      <xdr:row>37</xdr:row>
      <xdr:rowOff>864358</xdr:rowOff>
    </xdr:from>
    <xdr:to>
      <xdr:col>3</xdr:col>
      <xdr:colOff>875731</xdr:colOff>
      <xdr:row>38</xdr:row>
      <xdr:rowOff>451167</xdr:rowOff>
    </xdr:to>
    <xdr:cxnSp macro="">
      <xdr:nvCxnSpPr>
        <xdr:cNvPr id="18" name="Straight Arrow Connector 17">
          <a:extLst>
            <a:ext uri="{FF2B5EF4-FFF2-40B4-BE49-F238E27FC236}">
              <a16:creationId xmlns:a16="http://schemas.microsoft.com/office/drawing/2014/main" xmlns="" id="{D673246C-A451-4B0C-AD47-B2A8207F5670}"/>
            </a:ext>
          </a:extLst>
        </xdr:cNvPr>
        <xdr:cNvCxnSpPr/>
      </xdr:nvCxnSpPr>
      <xdr:spPr>
        <a:xfrm flipH="1">
          <a:off x="4207614" y="12265783"/>
          <a:ext cx="1867" cy="501209"/>
        </a:xfrm>
        <a:prstGeom prst="straightConnector1">
          <a:avLst/>
        </a:prstGeom>
        <a:ln w="79375">
          <a:solidFill>
            <a:srgbClr val="C00000"/>
          </a:solidFill>
          <a:tailEnd type="triangle"/>
        </a:ln>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217</xdr:row>
          <xdr:rowOff>85725</xdr:rowOff>
        </xdr:from>
        <xdr:to>
          <xdr:col>1</xdr:col>
          <xdr:colOff>1409700</xdr:colOff>
          <xdr:row>224</xdr:row>
          <xdr:rowOff>228600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73152" tIns="59436" rIns="73152" bIns="59436" anchor="ctr" upright="1"/>
            <a:lstStyle/>
            <a:p>
              <a:pPr algn="ctr" rtl="0">
                <a:defRPr sz="1000"/>
              </a:pPr>
              <a:r>
                <a:rPr lang="en-US" sz="3600" b="1" i="0" u="none" strike="noStrike" baseline="0">
                  <a:solidFill>
                    <a:srgbClr val="000000"/>
                  </a:solidFill>
                  <a:latin typeface="Arial"/>
                  <a:cs typeface="Arial"/>
                </a:rPr>
                <a:t>📥</a:t>
              </a:r>
            </a:p>
            <a:p>
              <a:pPr algn="ctr" rtl="0">
                <a:defRPr sz="1000"/>
              </a:pPr>
              <a:r>
                <a:rPr lang="en-US" sz="3600" b="1" i="0" u="none" strike="noStrike" baseline="0">
                  <a:solidFill>
                    <a:srgbClr val="000000"/>
                  </a:solidFill>
                  <a:latin typeface="Arial"/>
                  <a:cs typeface="Arial"/>
                </a:rPr>
                <a:t>Import</a:t>
              </a:r>
            </a:p>
            <a:p>
              <a:pPr algn="ctr" rtl="0">
                <a:defRPr sz="1000"/>
              </a:pPr>
              <a:r>
                <a:rPr lang="en-US" sz="3600" b="1" i="0" u="none" strike="noStrike" baseline="0">
                  <a:solidFill>
                    <a:srgbClr val="000000"/>
                  </a:solidFill>
                  <a:latin typeface="Arial"/>
                  <a:cs typeface="Arial"/>
                </a:rPr>
                <a:t>Intelipar</a:t>
              </a:r>
            </a:p>
            <a:p>
              <a:pPr algn="ctr" rtl="0">
                <a:defRPr sz="1000"/>
              </a:pPr>
              <a:r>
                <a:rPr lang="en-US" sz="3600" b="1" i="0" u="none" strike="noStrike" baseline="0">
                  <a:solidFill>
                    <a:srgbClr val="000000"/>
                  </a:solidFill>
                  <a:latin typeface="Arial"/>
                  <a:cs typeface="Arial"/>
                </a:rPr>
                <a:t>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17</xdr:row>
          <xdr:rowOff>66675</xdr:rowOff>
        </xdr:from>
        <xdr:to>
          <xdr:col>1</xdr:col>
          <xdr:colOff>447675</xdr:colOff>
          <xdr:row>20</xdr:row>
          <xdr:rowOff>123825</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 Update Current Month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17"/>
  <sheetViews>
    <sheetView showGridLines="0" zoomScaleNormal="100" workbookViewId="0"/>
  </sheetViews>
  <sheetFormatPr defaultColWidth="18.85546875" defaultRowHeight="12.75"/>
  <cols>
    <col min="1" max="1" width="2.7109375" style="68" customWidth="1"/>
    <col min="2" max="2" width="18.85546875" style="8" customWidth="1"/>
    <col min="3" max="5" width="18.85546875" style="68"/>
    <col min="6" max="6" width="35.42578125" style="68" customWidth="1"/>
    <col min="7" max="7" width="18.85546875" style="68"/>
    <col min="8" max="8" width="20.28515625" style="68" customWidth="1"/>
    <col min="9" max="16384" width="18.85546875" style="68"/>
  </cols>
  <sheetData>
    <row r="1" spans="1:8" ht="27" thickBot="1">
      <c r="A1" s="265"/>
      <c r="B1" s="535">
        <v>45931</v>
      </c>
      <c r="C1" s="536"/>
      <c r="D1" s="536"/>
      <c r="E1" s="536"/>
      <c r="F1" s="536"/>
      <c r="G1" s="537"/>
      <c r="H1" s="56"/>
    </row>
    <row r="2" spans="1:8" ht="27" thickBot="1">
      <c r="A2" s="56"/>
      <c r="B2" s="538" t="s">
        <v>0</v>
      </c>
      <c r="C2" s="538"/>
      <c r="D2" s="538"/>
      <c r="E2" s="538"/>
      <c r="F2" s="538"/>
      <c r="G2" s="538"/>
      <c r="H2" s="56"/>
    </row>
    <row r="3" spans="1:8" ht="24" thickBot="1">
      <c r="A3" s="56"/>
      <c r="B3" s="532" t="s">
        <v>532</v>
      </c>
      <c r="C3" s="533"/>
      <c r="D3" s="533"/>
      <c r="E3" s="533"/>
      <c r="F3" s="533"/>
      <c r="G3" s="534"/>
      <c r="H3" s="267"/>
    </row>
    <row r="4" spans="1:8" ht="27.75" customHeight="1" thickBot="1">
      <c r="B4" s="268" t="s">
        <v>1</v>
      </c>
      <c r="C4" s="8"/>
      <c r="D4" s="269" t="s">
        <v>2</v>
      </c>
      <c r="F4" s="269" t="s">
        <v>3</v>
      </c>
      <c r="G4" s="406"/>
    </row>
    <row r="5" spans="1:8" s="266" customFormat="1" ht="15.75">
      <c r="B5" s="270" t="s">
        <v>4</v>
      </c>
      <c r="C5" s="260">
        <f>Food!E237</f>
        <v>43897.123999999996</v>
      </c>
      <c r="D5" s="270" t="s">
        <v>5</v>
      </c>
      <c r="E5" s="9">
        <f>Food!E15</f>
        <v>20118.999999999996</v>
      </c>
      <c r="F5" s="270" t="s">
        <v>6</v>
      </c>
      <c r="G5" s="54">
        <f>'Supplies &amp; Chemicals'!F10+'Supplies &amp; Chemicals'!F16+'Supplies &amp; Chemicals'!F22</f>
        <v>0</v>
      </c>
    </row>
    <row r="6" spans="1:8" s="266" customFormat="1" ht="15.75">
      <c r="B6" s="271" t="s">
        <v>7</v>
      </c>
      <c r="C6" s="261">
        <f>'W,L,B,NA'!F225</f>
        <v>21454.32</v>
      </c>
      <c r="D6" s="271" t="s">
        <v>8</v>
      </c>
      <c r="E6" s="12">
        <f>Food!E20</f>
        <v>5079.7</v>
      </c>
      <c r="F6" s="271" t="s">
        <v>9</v>
      </c>
      <c r="G6" s="55">
        <f>'Supplies &amp; Chemicals'!F26+'Supplies &amp; Chemicals'!F31+'Supplies &amp; Chemicals'!F36</f>
        <v>0</v>
      </c>
    </row>
    <row r="7" spans="1:8" s="266" customFormat="1" ht="15.75">
      <c r="B7" s="271" t="s">
        <v>10</v>
      </c>
      <c r="C7" s="261">
        <f>'W,L,B,NA'!G225</f>
        <v>1439.47</v>
      </c>
      <c r="D7" s="271" t="s">
        <v>11</v>
      </c>
      <c r="E7" s="12">
        <f>Food!E25</f>
        <v>623.79999999999995</v>
      </c>
      <c r="F7" s="271" t="s">
        <v>12</v>
      </c>
      <c r="G7" s="55">
        <f>'Supplies &amp; Chemicals'!F71</f>
        <v>0</v>
      </c>
    </row>
    <row r="8" spans="1:8" s="266" customFormat="1" ht="15.75">
      <c r="B8" s="271" t="s">
        <v>13</v>
      </c>
      <c r="C8" s="261">
        <f>'W,L,B,NA'!E225</f>
        <v>38144.33</v>
      </c>
      <c r="D8" s="271" t="s">
        <v>14</v>
      </c>
      <c r="E8" s="12">
        <f>Food!E35</f>
        <v>2676.6200000000003</v>
      </c>
      <c r="F8" s="271" t="s">
        <v>15</v>
      </c>
      <c r="G8" s="55">
        <f>'Supplies &amp; Chemicals'!F95</f>
        <v>0</v>
      </c>
    </row>
    <row r="9" spans="1:8" s="266" customFormat="1" ht="16.5" thickBot="1">
      <c r="B9" s="272" t="s">
        <v>16</v>
      </c>
      <c r="C9" s="262">
        <f>'W,L,B,NA'!I225</f>
        <v>4010.47</v>
      </c>
      <c r="D9" s="271" t="s">
        <v>17</v>
      </c>
      <c r="E9" s="12">
        <f>Food!E42</f>
        <v>923.6</v>
      </c>
      <c r="F9" s="271" t="s">
        <v>18</v>
      </c>
      <c r="G9" s="55">
        <f>'Supplies &amp; Chemicals'!F103+'Supplies &amp; Chemicals'!F120</f>
        <v>0</v>
      </c>
    </row>
    <row r="10" spans="1:8" s="266" customFormat="1" ht="16.5" thickBot="1">
      <c r="D10" s="271" t="s">
        <v>19</v>
      </c>
      <c r="E10" s="12">
        <f>Food!E147</f>
        <v>9462.3340000000007</v>
      </c>
      <c r="F10" s="273" t="s">
        <v>20</v>
      </c>
      <c r="G10" s="274">
        <f>SUM(G5:G9)</f>
        <v>0</v>
      </c>
    </row>
    <row r="11" spans="1:8" s="266" customFormat="1" ht="15.75">
      <c r="D11" s="271" t="s">
        <v>21</v>
      </c>
      <c r="E11" s="12">
        <f>Food!E181</f>
        <v>1257.3300000000002</v>
      </c>
    </row>
    <row r="12" spans="1:8" s="266" customFormat="1" ht="16.5" thickBot="1">
      <c r="D12" s="272" t="s">
        <v>22</v>
      </c>
      <c r="E12" s="13">
        <f>Food!E217</f>
        <v>3700.2400000000002</v>
      </c>
    </row>
    <row r="13" spans="1:8" s="266" customFormat="1" ht="16.5" thickBot="1">
      <c r="D13" s="275" t="s">
        <v>23</v>
      </c>
      <c r="E13" s="13">
        <f>Food!E235</f>
        <v>54.5</v>
      </c>
    </row>
    <row r="14" spans="1:8" s="266" customFormat="1" ht="16.5" thickBot="1">
      <c r="D14" s="276" t="s">
        <v>4</v>
      </c>
      <c r="E14" s="274">
        <f>SUM(E5:E13)</f>
        <v>43897.123999999996</v>
      </c>
    </row>
    <row r="15" spans="1:8" s="266" customFormat="1" ht="16.5" thickBot="1">
      <c r="B15" s="14"/>
    </row>
    <row r="16" spans="1:8" s="266" customFormat="1" ht="18.75" thickBot="1">
      <c r="B16" s="69">
        <f>SUM(C5:C9)</f>
        <v>108945.71399999999</v>
      </c>
      <c r="C16" s="277" t="s">
        <v>24</v>
      </c>
      <c r="D16" s="278"/>
      <c r="E16" s="279"/>
    </row>
    <row r="17" spans="2:10" ht="15.75">
      <c r="B17" s="266"/>
      <c r="C17" s="16"/>
      <c r="I17" s="280"/>
      <c r="J17" s="15"/>
    </row>
  </sheetData>
  <sheetProtection algorithmName="SHA-512" hashValue="yxQTww3Ug1NaR+M42U53tElP5RJJJi15BcfG+m/3GJHqjjZmWeAVjDw6WBY5xYgIoMtSkgDxbPJTfI+ymLqfTA==" saltValue="KvyOCNVEwh663R/VL6zmGA==" spinCount="100000" sheet="1" objects="1" scenarios="1" selectLockedCells="1" selectUnlockedCells="1"/>
  <mergeCells count="3">
    <mergeCell ref="B3:G3"/>
    <mergeCell ref="B1:G1"/>
    <mergeCell ref="B2:G2"/>
  </mergeCells>
  <phoneticPr fontId="0" type="noConversion"/>
  <pageMargins left="0.18" right="0.22" top="0.45" bottom="0.43" header="0.24" footer="0.24"/>
  <pageSetup scale="89" orientation="landscape" r:id="rId1"/>
  <headerFooter alignWithMargins="0">
    <oddFooter>&amp;CUpdated Inventory OCT.2023</oddFooter>
  </headerFooter>
  <rowBreaks count="1" manualBreakCount="1">
    <brk id="38" max="1638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261"/>
  <sheetViews>
    <sheetView showGridLines="0" topLeftCell="A208" zoomScaleNormal="100" workbookViewId="0">
      <selection activeCell="O14" sqref="O14"/>
    </sheetView>
  </sheetViews>
  <sheetFormatPr defaultRowHeight="22.9" customHeight="1"/>
  <cols>
    <col min="1" max="1" width="47.42578125" bestFit="1" customWidth="1"/>
    <col min="2" max="2" width="15.7109375" customWidth="1"/>
    <col min="3" max="3" width="11.85546875" customWidth="1"/>
    <col min="4" max="4" width="13.28515625" bestFit="1" customWidth="1"/>
    <col min="5" max="5" width="19.7109375" customWidth="1"/>
    <col min="6" max="6" width="9.140625" style="67"/>
  </cols>
  <sheetData>
    <row r="1" spans="1:6" ht="27.75">
      <c r="A1" s="258" t="s">
        <v>446</v>
      </c>
      <c r="B1" s="554" t="str">
        <f>'Inv Totals'!B3</f>
        <v>Texas de Brazil - Tokyo JP</v>
      </c>
      <c r="C1" s="554"/>
      <c r="D1" s="554"/>
      <c r="E1" s="555">
        <f>'Inv Totals'!B1</f>
        <v>45931</v>
      </c>
      <c r="F1" s="556"/>
    </row>
    <row r="2" spans="1:6" ht="23.1" customHeight="1" thickBot="1"/>
    <row r="3" spans="1:6" ht="60">
      <c r="A3" s="557" t="s">
        <v>428</v>
      </c>
      <c r="B3" s="558"/>
      <c r="C3" s="558"/>
      <c r="D3" s="558"/>
      <c r="E3" s="558"/>
      <c r="F3" s="559"/>
    </row>
    <row r="4" spans="1:6" ht="24.75" customHeight="1">
      <c r="A4" s="217" t="s">
        <v>31</v>
      </c>
      <c r="B4" s="104" t="s">
        <v>27</v>
      </c>
      <c r="C4" s="104" t="s">
        <v>25</v>
      </c>
      <c r="D4" s="218" t="s">
        <v>28</v>
      </c>
      <c r="E4" s="104" t="s">
        <v>29</v>
      </c>
      <c r="F4" s="219" t="s">
        <v>30</v>
      </c>
    </row>
    <row r="5" spans="1:6" ht="24.95" customHeight="1">
      <c r="A5" s="66" t="s">
        <v>33</v>
      </c>
      <c r="B5" s="6">
        <v>790</v>
      </c>
      <c r="C5" s="4" t="s">
        <v>34</v>
      </c>
      <c r="D5" s="405">
        <v>9.14</v>
      </c>
      <c r="E5" s="216">
        <f>B5*D5</f>
        <v>7220.6</v>
      </c>
      <c r="F5" s="3" t="s">
        <v>35</v>
      </c>
    </row>
    <row r="6" spans="1:6" ht="24.95" customHeight="1">
      <c r="A6" s="66" t="s">
        <v>36</v>
      </c>
      <c r="B6" s="6">
        <v>395</v>
      </c>
      <c r="C6" s="4" t="s">
        <v>34</v>
      </c>
      <c r="D6" s="220">
        <v>8.36</v>
      </c>
      <c r="E6" s="216">
        <f t="shared" ref="E6:E14" si="0">B6*D6</f>
        <v>3302.2</v>
      </c>
      <c r="F6" s="3" t="s">
        <v>35</v>
      </c>
    </row>
    <row r="7" spans="1:6" ht="24.95" customHeight="1">
      <c r="A7" s="66" t="s">
        <v>37</v>
      </c>
      <c r="B7" s="6"/>
      <c r="C7" s="4" t="s">
        <v>34</v>
      </c>
      <c r="D7" s="220"/>
      <c r="E7" s="216">
        <f t="shared" si="0"/>
        <v>0</v>
      </c>
      <c r="F7" s="3" t="s">
        <v>35</v>
      </c>
    </row>
    <row r="8" spans="1:6" ht="24.95" customHeight="1">
      <c r="A8" s="66" t="s">
        <v>38</v>
      </c>
      <c r="B8" s="6">
        <v>460</v>
      </c>
      <c r="C8" s="4" t="s">
        <v>34</v>
      </c>
      <c r="D8" s="220">
        <v>8.24</v>
      </c>
      <c r="E8" s="216">
        <f t="shared" si="0"/>
        <v>3790.4</v>
      </c>
      <c r="F8" s="3" t="s">
        <v>35</v>
      </c>
    </row>
    <row r="9" spans="1:6" ht="24.95" customHeight="1">
      <c r="A9" s="66" t="s">
        <v>39</v>
      </c>
      <c r="B9" s="6">
        <v>290</v>
      </c>
      <c r="C9" s="4" t="s">
        <v>34</v>
      </c>
      <c r="D9" s="220">
        <v>9.5</v>
      </c>
      <c r="E9" s="216">
        <f t="shared" si="0"/>
        <v>2755</v>
      </c>
      <c r="F9" s="3" t="s">
        <v>35</v>
      </c>
    </row>
    <row r="10" spans="1:6" ht="24.95" customHeight="1">
      <c r="A10" s="66" t="s">
        <v>402</v>
      </c>
      <c r="B10" s="6">
        <v>580</v>
      </c>
      <c r="C10" s="4" t="s">
        <v>34</v>
      </c>
      <c r="D10" s="220">
        <v>5.26</v>
      </c>
      <c r="E10" s="216">
        <f t="shared" si="0"/>
        <v>3050.7999999999997</v>
      </c>
      <c r="F10" s="3" t="s">
        <v>35</v>
      </c>
    </row>
    <row r="11" spans="1:6" ht="24.95" customHeight="1">
      <c r="A11" s="221" t="s">
        <v>403</v>
      </c>
      <c r="B11" s="6"/>
      <c r="C11" s="4" t="s">
        <v>34</v>
      </c>
      <c r="D11" s="220"/>
      <c r="E11" s="216">
        <f t="shared" si="0"/>
        <v>0</v>
      </c>
      <c r="F11" s="3" t="s">
        <v>35</v>
      </c>
    </row>
    <row r="12" spans="1:6" ht="24.95" customHeight="1">
      <c r="A12" s="221" t="s">
        <v>403</v>
      </c>
      <c r="B12" s="6"/>
      <c r="C12" s="4" t="s">
        <v>34</v>
      </c>
      <c r="D12" s="220"/>
      <c r="E12" s="216">
        <f t="shared" si="0"/>
        <v>0</v>
      </c>
      <c r="F12" s="3" t="s">
        <v>35</v>
      </c>
    </row>
    <row r="13" spans="1:6" ht="24.95" customHeight="1">
      <c r="A13" s="221" t="s">
        <v>403</v>
      </c>
      <c r="B13" s="6"/>
      <c r="C13" s="4" t="s">
        <v>34</v>
      </c>
      <c r="D13" s="220"/>
      <c r="E13" s="216">
        <f t="shared" si="0"/>
        <v>0</v>
      </c>
      <c r="F13" s="3" t="s">
        <v>35</v>
      </c>
    </row>
    <row r="14" spans="1:6" ht="24.95" customHeight="1">
      <c r="A14" s="221" t="s">
        <v>403</v>
      </c>
      <c r="B14" s="6"/>
      <c r="C14" s="4" t="s">
        <v>34</v>
      </c>
      <c r="D14" s="220"/>
      <c r="E14" s="216">
        <f t="shared" si="0"/>
        <v>0</v>
      </c>
      <c r="F14" s="3" t="s">
        <v>35</v>
      </c>
    </row>
    <row r="15" spans="1:6" ht="30" customHeight="1">
      <c r="A15" s="222"/>
      <c r="B15" s="59"/>
      <c r="C15" s="184"/>
      <c r="D15" s="223" t="s">
        <v>20</v>
      </c>
      <c r="E15" s="60">
        <f>SUM(E5:E14)</f>
        <v>20118.999999999996</v>
      </c>
      <c r="F15" s="224"/>
    </row>
    <row r="16" spans="1:6" ht="24.75" customHeight="1">
      <c r="A16" s="217" t="s">
        <v>40</v>
      </c>
      <c r="B16" s="104" t="s">
        <v>27</v>
      </c>
      <c r="C16" s="104" t="s">
        <v>25</v>
      </c>
      <c r="D16" s="218" t="s">
        <v>28</v>
      </c>
      <c r="E16" s="104" t="s">
        <v>29</v>
      </c>
      <c r="F16" s="219" t="s">
        <v>30</v>
      </c>
    </row>
    <row r="17" spans="1:6" ht="24.95" customHeight="1">
      <c r="A17" s="66" t="s">
        <v>41</v>
      </c>
      <c r="B17" s="6">
        <v>370</v>
      </c>
      <c r="C17" s="4" t="s">
        <v>34</v>
      </c>
      <c r="D17" s="220">
        <v>6.21</v>
      </c>
      <c r="E17" s="216">
        <f t="shared" ref="E17:E19" si="1">B17*D17</f>
        <v>2297.6999999999998</v>
      </c>
      <c r="F17" s="3" t="s">
        <v>35</v>
      </c>
    </row>
    <row r="18" spans="1:6" ht="24.95" customHeight="1">
      <c r="A18" s="66" t="s">
        <v>42</v>
      </c>
      <c r="B18" s="6"/>
      <c r="C18" s="4" t="s">
        <v>34</v>
      </c>
      <c r="D18" s="220"/>
      <c r="E18" s="216">
        <f t="shared" si="1"/>
        <v>0</v>
      </c>
      <c r="F18" s="3" t="s">
        <v>35</v>
      </c>
    </row>
    <row r="19" spans="1:6" ht="24.95" customHeight="1">
      <c r="A19" s="66" t="s">
        <v>43</v>
      </c>
      <c r="B19" s="6">
        <v>200</v>
      </c>
      <c r="C19" s="4" t="s">
        <v>34</v>
      </c>
      <c r="D19" s="220">
        <v>13.91</v>
      </c>
      <c r="E19" s="216">
        <f t="shared" si="1"/>
        <v>2782</v>
      </c>
      <c r="F19" s="3" t="s">
        <v>35</v>
      </c>
    </row>
    <row r="20" spans="1:6" ht="30" customHeight="1">
      <c r="A20" s="222"/>
      <c r="B20" s="59"/>
      <c r="C20" s="184"/>
      <c r="D20" s="223" t="s">
        <v>20</v>
      </c>
      <c r="E20" s="60">
        <f>SUM(E17:E19)</f>
        <v>5079.7</v>
      </c>
      <c r="F20" s="224"/>
    </row>
    <row r="21" spans="1:6" ht="24.75" customHeight="1">
      <c r="A21" s="217" t="s">
        <v>44</v>
      </c>
      <c r="B21" s="104" t="s">
        <v>27</v>
      </c>
      <c r="C21" s="104" t="s">
        <v>25</v>
      </c>
      <c r="D21" s="218" t="s">
        <v>28</v>
      </c>
      <c r="E21" s="104" t="s">
        <v>29</v>
      </c>
      <c r="F21" s="219" t="s">
        <v>30</v>
      </c>
    </row>
    <row r="22" spans="1:6" ht="24.95" customHeight="1">
      <c r="A22" s="66" t="s">
        <v>45</v>
      </c>
      <c r="B22" s="6">
        <v>210</v>
      </c>
      <c r="C22" s="4" t="s">
        <v>34</v>
      </c>
      <c r="D22" s="220">
        <v>1.47</v>
      </c>
      <c r="E22" s="216">
        <f t="shared" ref="E22:E24" si="2">B22*D22</f>
        <v>308.7</v>
      </c>
      <c r="F22" s="3" t="s">
        <v>35</v>
      </c>
    </row>
    <row r="23" spans="1:6" ht="24.95" customHeight="1">
      <c r="A23" s="66" t="s">
        <v>46</v>
      </c>
      <c r="B23" s="6">
        <v>230</v>
      </c>
      <c r="C23" s="4" t="s">
        <v>34</v>
      </c>
      <c r="D23" s="220">
        <v>1.37</v>
      </c>
      <c r="E23" s="216">
        <f t="shared" si="2"/>
        <v>315.10000000000002</v>
      </c>
      <c r="F23" s="3" t="s">
        <v>35</v>
      </c>
    </row>
    <row r="24" spans="1:6" ht="24.95" customHeight="1">
      <c r="A24" s="221" t="s">
        <v>403</v>
      </c>
      <c r="B24" s="6"/>
      <c r="C24" s="4" t="s">
        <v>34</v>
      </c>
      <c r="D24" s="220"/>
      <c r="E24" s="216">
        <f t="shared" si="2"/>
        <v>0</v>
      </c>
      <c r="F24" s="3" t="s">
        <v>35</v>
      </c>
    </row>
    <row r="25" spans="1:6" ht="30" customHeight="1">
      <c r="A25" s="222"/>
      <c r="B25" s="59"/>
      <c r="C25" s="184"/>
      <c r="D25" s="223" t="s">
        <v>20</v>
      </c>
      <c r="E25" s="60">
        <f>SUM(E22:E24)</f>
        <v>623.79999999999995</v>
      </c>
      <c r="F25" s="224"/>
    </row>
    <row r="26" spans="1:6" ht="24.75" customHeight="1">
      <c r="A26" s="217" t="s">
        <v>47</v>
      </c>
      <c r="B26" s="104" t="s">
        <v>27</v>
      </c>
      <c r="C26" s="104" t="s">
        <v>25</v>
      </c>
      <c r="D26" s="218" t="s">
        <v>28</v>
      </c>
      <c r="E26" s="104" t="s">
        <v>29</v>
      </c>
      <c r="F26" s="219" t="s">
        <v>30</v>
      </c>
    </row>
    <row r="27" spans="1:6" ht="24.95" customHeight="1">
      <c r="A27" s="66" t="s">
        <v>48</v>
      </c>
      <c r="B27" s="6">
        <v>150</v>
      </c>
      <c r="C27" s="4" t="s">
        <v>34</v>
      </c>
      <c r="D27" s="220">
        <v>3.33</v>
      </c>
      <c r="E27" s="216">
        <f t="shared" ref="E27:E34" si="3">B27*D27</f>
        <v>499.5</v>
      </c>
      <c r="F27" s="3" t="s">
        <v>35</v>
      </c>
    </row>
    <row r="28" spans="1:6" ht="24.95" customHeight="1">
      <c r="A28" s="225" t="s">
        <v>49</v>
      </c>
      <c r="B28" s="6">
        <v>30</v>
      </c>
      <c r="C28" s="4" t="s">
        <v>34</v>
      </c>
      <c r="D28" s="226">
        <v>6.5</v>
      </c>
      <c r="E28" s="216">
        <f t="shared" si="3"/>
        <v>195</v>
      </c>
      <c r="F28" s="227" t="s">
        <v>50</v>
      </c>
    </row>
    <row r="29" spans="1:6" ht="24.95" customHeight="1">
      <c r="A29" s="66" t="s">
        <v>51</v>
      </c>
      <c r="B29" s="6">
        <v>230</v>
      </c>
      <c r="C29" s="4" t="s">
        <v>34</v>
      </c>
      <c r="D29" s="220">
        <v>3.16</v>
      </c>
      <c r="E29" s="216">
        <f t="shared" si="3"/>
        <v>726.80000000000007</v>
      </c>
      <c r="F29" s="3" t="s">
        <v>35</v>
      </c>
    </row>
    <row r="30" spans="1:6" ht="24.95" customHeight="1">
      <c r="A30" s="66" t="s">
        <v>52</v>
      </c>
      <c r="B30" s="6">
        <v>140</v>
      </c>
      <c r="C30" s="4" t="s">
        <v>34</v>
      </c>
      <c r="D30" s="220">
        <v>2.8</v>
      </c>
      <c r="E30" s="216">
        <f t="shared" si="3"/>
        <v>392</v>
      </c>
      <c r="F30" s="3" t="s">
        <v>35</v>
      </c>
    </row>
    <row r="31" spans="1:6" ht="24.95" customHeight="1">
      <c r="A31" s="66" t="s">
        <v>53</v>
      </c>
      <c r="B31" s="6">
        <v>160</v>
      </c>
      <c r="C31" s="4" t="s">
        <v>34</v>
      </c>
      <c r="D31" s="220">
        <v>2.4700000000000002</v>
      </c>
      <c r="E31" s="216">
        <f t="shared" si="3"/>
        <v>395.20000000000005</v>
      </c>
      <c r="F31" s="3" t="s">
        <v>35</v>
      </c>
    </row>
    <row r="32" spans="1:6" ht="24.95" customHeight="1">
      <c r="A32" s="66" t="s">
        <v>54</v>
      </c>
      <c r="B32" s="6">
        <v>28</v>
      </c>
      <c r="C32" s="4" t="s">
        <v>34</v>
      </c>
      <c r="D32" s="220">
        <v>9.69</v>
      </c>
      <c r="E32" s="216">
        <f t="shared" si="3"/>
        <v>271.32</v>
      </c>
      <c r="F32" s="3" t="s">
        <v>35</v>
      </c>
    </row>
    <row r="33" spans="1:6" ht="24.95" customHeight="1">
      <c r="A33" s="66" t="s">
        <v>55</v>
      </c>
      <c r="B33" s="6">
        <v>30</v>
      </c>
      <c r="C33" s="4" t="s">
        <v>34</v>
      </c>
      <c r="D33" s="220">
        <v>6.56</v>
      </c>
      <c r="E33" s="216">
        <f t="shared" si="3"/>
        <v>196.79999999999998</v>
      </c>
      <c r="F33" s="3" t="s">
        <v>35</v>
      </c>
    </row>
    <row r="34" spans="1:6" ht="24.95" customHeight="1">
      <c r="A34" s="221" t="s">
        <v>403</v>
      </c>
      <c r="B34" s="6"/>
      <c r="C34" s="4" t="s">
        <v>34</v>
      </c>
      <c r="D34" s="220"/>
      <c r="E34" s="216">
        <f t="shared" si="3"/>
        <v>0</v>
      </c>
      <c r="F34" s="3" t="s">
        <v>35</v>
      </c>
    </row>
    <row r="35" spans="1:6" ht="30" customHeight="1">
      <c r="A35" s="222"/>
      <c r="B35" s="59"/>
      <c r="C35" s="184"/>
      <c r="D35" s="223" t="s">
        <v>20</v>
      </c>
      <c r="E35" s="60">
        <f>SUM(E27:E34)</f>
        <v>2676.6200000000003</v>
      </c>
      <c r="F35" s="224"/>
    </row>
    <row r="36" spans="1:6" ht="24.75" customHeight="1">
      <c r="A36" s="217" t="s">
        <v>56</v>
      </c>
      <c r="B36" s="104" t="s">
        <v>27</v>
      </c>
      <c r="C36" s="104" t="s">
        <v>25</v>
      </c>
      <c r="D36" s="218" t="s">
        <v>28</v>
      </c>
      <c r="E36" s="104" t="s">
        <v>29</v>
      </c>
      <c r="F36" s="219" t="s">
        <v>30</v>
      </c>
    </row>
    <row r="37" spans="1:6" ht="24.95" customHeight="1">
      <c r="A37" s="228" t="s">
        <v>57</v>
      </c>
      <c r="B37" s="6">
        <v>50</v>
      </c>
      <c r="C37" s="4" t="s">
        <v>34</v>
      </c>
      <c r="D37" s="405">
        <v>1.8</v>
      </c>
      <c r="E37" s="216">
        <f t="shared" ref="E37:E41" si="4">B37*D37</f>
        <v>90</v>
      </c>
      <c r="F37" s="3" t="s">
        <v>35</v>
      </c>
    </row>
    <row r="38" spans="1:6" ht="24.95" customHeight="1">
      <c r="A38" s="228" t="s">
        <v>58</v>
      </c>
      <c r="B38" s="6">
        <v>40</v>
      </c>
      <c r="C38" s="4" t="s">
        <v>34</v>
      </c>
      <c r="D38" s="220">
        <v>9.84</v>
      </c>
      <c r="E38" s="216">
        <f t="shared" si="4"/>
        <v>393.6</v>
      </c>
      <c r="F38" s="3" t="s">
        <v>35</v>
      </c>
    </row>
    <row r="39" spans="1:6" ht="24.95" customHeight="1">
      <c r="A39" s="228" t="s">
        <v>59</v>
      </c>
      <c r="B39" s="6">
        <v>80</v>
      </c>
      <c r="C39" s="4" t="s">
        <v>34</v>
      </c>
      <c r="D39" s="220">
        <v>5.5</v>
      </c>
      <c r="E39" s="216">
        <f t="shared" si="4"/>
        <v>440</v>
      </c>
      <c r="F39" s="3" t="s">
        <v>35</v>
      </c>
    </row>
    <row r="40" spans="1:6" ht="24.95" customHeight="1">
      <c r="A40" s="221" t="s">
        <v>403</v>
      </c>
      <c r="B40" s="6"/>
      <c r="C40" s="4" t="s">
        <v>34</v>
      </c>
      <c r="D40" s="220"/>
      <c r="E40" s="216">
        <f t="shared" si="4"/>
        <v>0</v>
      </c>
      <c r="F40" s="3" t="s">
        <v>35</v>
      </c>
    </row>
    <row r="41" spans="1:6" ht="24.95" customHeight="1">
      <c r="A41" s="221" t="s">
        <v>403</v>
      </c>
      <c r="B41" s="6"/>
      <c r="C41" s="4" t="s">
        <v>34</v>
      </c>
      <c r="D41" s="220"/>
      <c r="E41" s="216">
        <f t="shared" si="4"/>
        <v>0</v>
      </c>
      <c r="F41" s="3" t="s">
        <v>35</v>
      </c>
    </row>
    <row r="42" spans="1:6" ht="30" customHeight="1" thickBot="1">
      <c r="A42" s="229"/>
      <c r="B42" s="230"/>
      <c r="C42" s="231"/>
      <c r="D42" s="232" t="s">
        <v>20</v>
      </c>
      <c r="E42" s="233">
        <f>SUM(E37:E41)</f>
        <v>923.6</v>
      </c>
      <c r="F42" s="234"/>
    </row>
    <row r="43" spans="1:6" ht="23.1" customHeight="1"/>
    <row r="44" spans="1:6" ht="24.75" customHeight="1">
      <c r="A44" s="105" t="s">
        <v>60</v>
      </c>
      <c r="B44" s="104" t="s">
        <v>27</v>
      </c>
      <c r="C44" s="104" t="s">
        <v>25</v>
      </c>
      <c r="D44" s="218" t="s">
        <v>28</v>
      </c>
      <c r="E44" s="104" t="s">
        <v>29</v>
      </c>
      <c r="F44" s="104" t="s">
        <v>30</v>
      </c>
    </row>
    <row r="45" spans="1:6" ht="24.95" customHeight="1">
      <c r="A45" s="58" t="s">
        <v>61</v>
      </c>
      <c r="B45" s="6">
        <v>7</v>
      </c>
      <c r="C45" s="4" t="s">
        <v>34</v>
      </c>
      <c r="D45" s="220">
        <v>13.98</v>
      </c>
      <c r="E45" s="216">
        <f>B45*D45</f>
        <v>97.86</v>
      </c>
      <c r="F45" s="2" t="s">
        <v>35</v>
      </c>
    </row>
    <row r="46" spans="1:6" ht="24.95" customHeight="1">
      <c r="A46" s="58" t="s">
        <v>62</v>
      </c>
      <c r="B46" s="6">
        <v>10</v>
      </c>
      <c r="C46" s="4" t="s">
        <v>63</v>
      </c>
      <c r="D46" s="220">
        <v>11.17</v>
      </c>
      <c r="E46" s="216">
        <f t="shared" ref="E46:E109" si="5">B46*D46</f>
        <v>111.7</v>
      </c>
      <c r="F46" s="2" t="s">
        <v>35</v>
      </c>
    </row>
    <row r="47" spans="1:6" ht="24.95" customHeight="1">
      <c r="A47" s="58" t="s">
        <v>64</v>
      </c>
      <c r="B47" s="6">
        <v>5</v>
      </c>
      <c r="C47" s="4" t="s">
        <v>63</v>
      </c>
      <c r="D47" s="220">
        <v>7.06</v>
      </c>
      <c r="E47" s="216">
        <f t="shared" si="5"/>
        <v>35.299999999999997</v>
      </c>
      <c r="F47" s="2" t="s">
        <v>35</v>
      </c>
    </row>
    <row r="48" spans="1:6" ht="24.95" customHeight="1">
      <c r="A48" s="58" t="s">
        <v>65</v>
      </c>
      <c r="B48" s="6">
        <v>17</v>
      </c>
      <c r="C48" s="4" t="s">
        <v>34</v>
      </c>
      <c r="D48" s="220">
        <v>7.57</v>
      </c>
      <c r="E48" s="216">
        <f t="shared" si="5"/>
        <v>128.69</v>
      </c>
      <c r="F48" s="2" t="s">
        <v>35</v>
      </c>
    </row>
    <row r="49" spans="1:6" ht="24.95" customHeight="1">
      <c r="A49" s="58" t="s">
        <v>66</v>
      </c>
      <c r="B49" s="6">
        <v>36</v>
      </c>
      <c r="C49" s="4" t="s">
        <v>34</v>
      </c>
      <c r="D49" s="220">
        <v>7.88</v>
      </c>
      <c r="E49" s="216">
        <f t="shared" si="5"/>
        <v>283.68</v>
      </c>
      <c r="F49" s="2" t="s">
        <v>35</v>
      </c>
    </row>
    <row r="50" spans="1:6" ht="24.95" customHeight="1">
      <c r="A50" s="58" t="s">
        <v>67</v>
      </c>
      <c r="B50" s="6">
        <v>32</v>
      </c>
      <c r="C50" s="4" t="s">
        <v>34</v>
      </c>
      <c r="D50" s="220">
        <v>14.37</v>
      </c>
      <c r="E50" s="216">
        <f t="shared" si="5"/>
        <v>459.84</v>
      </c>
      <c r="F50" s="2" t="s">
        <v>35</v>
      </c>
    </row>
    <row r="51" spans="1:6" ht="24.95" customHeight="1">
      <c r="A51" s="58" t="s">
        <v>68</v>
      </c>
      <c r="B51" s="6">
        <v>40</v>
      </c>
      <c r="C51" s="4" t="s">
        <v>34</v>
      </c>
      <c r="D51" s="220">
        <v>1.1200000000000001</v>
      </c>
      <c r="E51" s="216">
        <f t="shared" si="5"/>
        <v>44.800000000000004</v>
      </c>
      <c r="F51" s="2" t="s">
        <v>35</v>
      </c>
    </row>
    <row r="52" spans="1:6" ht="24.95" customHeight="1">
      <c r="A52" s="58" t="s">
        <v>69</v>
      </c>
      <c r="B52" s="6">
        <v>120</v>
      </c>
      <c r="C52" s="4" t="s">
        <v>63</v>
      </c>
      <c r="D52" s="220">
        <v>2.4300000000000002</v>
      </c>
      <c r="E52" s="216">
        <f t="shared" si="5"/>
        <v>291.60000000000002</v>
      </c>
      <c r="F52" s="2" t="s">
        <v>35</v>
      </c>
    </row>
    <row r="53" spans="1:6" ht="24.95" customHeight="1">
      <c r="A53" s="58" t="s">
        <v>70</v>
      </c>
      <c r="B53" s="6">
        <v>20</v>
      </c>
      <c r="C53" s="4" t="s">
        <v>34</v>
      </c>
      <c r="D53" s="220">
        <v>4.7</v>
      </c>
      <c r="E53" s="216">
        <f t="shared" si="5"/>
        <v>94</v>
      </c>
      <c r="F53" s="2" t="s">
        <v>35</v>
      </c>
    </row>
    <row r="54" spans="1:6" ht="24.95" customHeight="1">
      <c r="A54" s="58" t="s">
        <v>71</v>
      </c>
      <c r="B54" s="6">
        <v>5</v>
      </c>
      <c r="C54" s="4" t="s">
        <v>63</v>
      </c>
      <c r="D54" s="220">
        <v>6.26</v>
      </c>
      <c r="E54" s="216">
        <f t="shared" si="5"/>
        <v>31.299999999999997</v>
      </c>
      <c r="F54" s="2" t="s">
        <v>35</v>
      </c>
    </row>
    <row r="55" spans="1:6" ht="24.95" customHeight="1">
      <c r="A55" s="63" t="s">
        <v>72</v>
      </c>
      <c r="B55" s="6">
        <v>15</v>
      </c>
      <c r="C55" s="4" t="s">
        <v>63</v>
      </c>
      <c r="D55" s="220">
        <v>4.47</v>
      </c>
      <c r="E55" s="216">
        <f t="shared" si="5"/>
        <v>67.05</v>
      </c>
      <c r="F55" s="2" t="s">
        <v>35</v>
      </c>
    </row>
    <row r="56" spans="1:6" ht="24.95" customHeight="1">
      <c r="A56" s="58" t="s">
        <v>73</v>
      </c>
      <c r="B56" s="6">
        <v>2</v>
      </c>
      <c r="C56" s="4" t="s">
        <v>63</v>
      </c>
      <c r="D56" s="220">
        <v>13.26</v>
      </c>
      <c r="E56" s="216">
        <f t="shared" si="5"/>
        <v>26.52</v>
      </c>
      <c r="F56" s="2" t="s">
        <v>35</v>
      </c>
    </row>
    <row r="57" spans="1:6" ht="24.95" customHeight="1">
      <c r="A57" s="61" t="s">
        <v>74</v>
      </c>
      <c r="B57" s="6">
        <v>20</v>
      </c>
      <c r="C57" s="4" t="s">
        <v>34</v>
      </c>
      <c r="D57" s="226">
        <v>3.5</v>
      </c>
      <c r="E57" s="216">
        <f t="shared" si="5"/>
        <v>70</v>
      </c>
      <c r="F57" s="62" t="s">
        <v>75</v>
      </c>
    </row>
    <row r="58" spans="1:6" ht="24.95" customHeight="1">
      <c r="A58" s="61" t="s">
        <v>76</v>
      </c>
      <c r="B58" s="6">
        <v>30</v>
      </c>
      <c r="C58" s="4" t="s">
        <v>34</v>
      </c>
      <c r="D58" s="226">
        <v>3.5</v>
      </c>
      <c r="E58" s="216">
        <f t="shared" si="5"/>
        <v>105</v>
      </c>
      <c r="F58" s="62" t="s">
        <v>75</v>
      </c>
    </row>
    <row r="59" spans="1:6" ht="24.95" customHeight="1">
      <c r="A59" s="61" t="s">
        <v>77</v>
      </c>
      <c r="B59" s="6">
        <v>60</v>
      </c>
      <c r="C59" s="4" t="s">
        <v>34</v>
      </c>
      <c r="D59" s="226">
        <v>3.5</v>
      </c>
      <c r="E59" s="216">
        <f t="shared" si="5"/>
        <v>210</v>
      </c>
      <c r="F59" s="62" t="s">
        <v>75</v>
      </c>
    </row>
    <row r="60" spans="1:6" ht="24.95" customHeight="1">
      <c r="A60" s="58" t="s">
        <v>78</v>
      </c>
      <c r="B60" s="6">
        <v>4</v>
      </c>
      <c r="C60" s="174" t="s">
        <v>79</v>
      </c>
      <c r="D60" s="220">
        <v>24.7</v>
      </c>
      <c r="E60" s="216">
        <f t="shared" si="5"/>
        <v>98.8</v>
      </c>
      <c r="F60" s="2" t="s">
        <v>35</v>
      </c>
    </row>
    <row r="61" spans="1:6" ht="24.95" customHeight="1">
      <c r="A61" s="58" t="s">
        <v>80</v>
      </c>
      <c r="B61" s="6">
        <v>20</v>
      </c>
      <c r="C61" s="4" t="s">
        <v>63</v>
      </c>
      <c r="D61" s="220">
        <v>1.5</v>
      </c>
      <c r="E61" s="216">
        <f t="shared" si="5"/>
        <v>30</v>
      </c>
      <c r="F61" s="2" t="s">
        <v>35</v>
      </c>
    </row>
    <row r="62" spans="1:6" ht="24.95" customHeight="1">
      <c r="A62" s="58" t="s">
        <v>81</v>
      </c>
      <c r="B62" s="6">
        <v>5</v>
      </c>
      <c r="C62" s="4" t="s">
        <v>63</v>
      </c>
      <c r="D62" s="220">
        <v>23</v>
      </c>
      <c r="E62" s="216">
        <f t="shared" si="5"/>
        <v>115</v>
      </c>
      <c r="F62" s="2" t="s">
        <v>35</v>
      </c>
    </row>
    <row r="63" spans="1:6" ht="24.95" customHeight="1">
      <c r="A63" s="58" t="s">
        <v>82</v>
      </c>
      <c r="B63" s="6">
        <v>20</v>
      </c>
      <c r="C63" s="4" t="s">
        <v>34</v>
      </c>
      <c r="D63" s="220">
        <v>25.84</v>
      </c>
      <c r="E63" s="216">
        <f t="shared" si="5"/>
        <v>516.79999999999995</v>
      </c>
      <c r="F63" s="2" t="s">
        <v>35</v>
      </c>
    </row>
    <row r="64" spans="1:6" ht="24.95" customHeight="1">
      <c r="A64" s="58" t="s">
        <v>83</v>
      </c>
      <c r="B64" s="6">
        <v>11</v>
      </c>
      <c r="C64" s="4" t="s">
        <v>84</v>
      </c>
      <c r="D64" s="220">
        <v>6.48</v>
      </c>
      <c r="E64" s="216">
        <f t="shared" si="5"/>
        <v>71.28</v>
      </c>
      <c r="F64" s="2" t="s">
        <v>35</v>
      </c>
    </row>
    <row r="65" spans="1:6" ht="24.95" customHeight="1">
      <c r="A65" s="61" t="s">
        <v>85</v>
      </c>
      <c r="B65" s="6">
        <v>2</v>
      </c>
      <c r="C65" s="4" t="s">
        <v>86</v>
      </c>
      <c r="D65" s="226">
        <v>9</v>
      </c>
      <c r="E65" s="216">
        <f t="shared" si="5"/>
        <v>18</v>
      </c>
      <c r="F65" s="62" t="s">
        <v>75</v>
      </c>
    </row>
    <row r="66" spans="1:6" ht="24.95" customHeight="1">
      <c r="A66" s="61" t="s">
        <v>87</v>
      </c>
      <c r="B66" s="6">
        <v>1</v>
      </c>
      <c r="C66" s="4" t="s">
        <v>86</v>
      </c>
      <c r="D66" s="226">
        <v>12</v>
      </c>
      <c r="E66" s="216">
        <f t="shared" si="5"/>
        <v>12</v>
      </c>
      <c r="F66" s="62" t="s">
        <v>75</v>
      </c>
    </row>
    <row r="67" spans="1:6" ht="24.95" customHeight="1">
      <c r="A67" s="61" t="s">
        <v>88</v>
      </c>
      <c r="B67" s="6">
        <v>4</v>
      </c>
      <c r="C67" s="4" t="s">
        <v>86</v>
      </c>
      <c r="D67" s="226">
        <v>9.5</v>
      </c>
      <c r="E67" s="216">
        <f t="shared" si="5"/>
        <v>38</v>
      </c>
      <c r="F67" s="62" t="s">
        <v>75</v>
      </c>
    </row>
    <row r="68" spans="1:6" ht="24.95" customHeight="1">
      <c r="A68" s="58" t="s">
        <v>89</v>
      </c>
      <c r="B68" s="6">
        <v>9</v>
      </c>
      <c r="C68" s="4" t="s">
        <v>86</v>
      </c>
      <c r="D68" s="220">
        <v>14.68</v>
      </c>
      <c r="E68" s="216">
        <f t="shared" si="5"/>
        <v>132.12</v>
      </c>
      <c r="F68" s="2" t="s">
        <v>35</v>
      </c>
    </row>
    <row r="69" spans="1:6" ht="24.95" customHeight="1">
      <c r="A69" s="61" t="s">
        <v>90</v>
      </c>
      <c r="B69" s="6">
        <v>5</v>
      </c>
      <c r="C69" s="4" t="s">
        <v>86</v>
      </c>
      <c r="D69" s="226">
        <v>13</v>
      </c>
      <c r="E69" s="216">
        <f t="shared" si="5"/>
        <v>65</v>
      </c>
      <c r="F69" s="62" t="s">
        <v>75</v>
      </c>
    </row>
    <row r="70" spans="1:6" ht="24.95" customHeight="1">
      <c r="A70" s="58" t="s">
        <v>91</v>
      </c>
      <c r="B70" s="6">
        <v>2</v>
      </c>
      <c r="C70" s="4" t="s">
        <v>86</v>
      </c>
      <c r="D70" s="220">
        <v>10.14</v>
      </c>
      <c r="E70" s="216">
        <f t="shared" si="5"/>
        <v>20.28</v>
      </c>
      <c r="F70" s="2" t="s">
        <v>35</v>
      </c>
    </row>
    <row r="71" spans="1:6" ht="24.95" customHeight="1">
      <c r="A71" s="61" t="s">
        <v>92</v>
      </c>
      <c r="B71" s="6">
        <v>3</v>
      </c>
      <c r="C71" s="4" t="s">
        <v>86</v>
      </c>
      <c r="D71" s="226">
        <v>11</v>
      </c>
      <c r="E71" s="216">
        <f t="shared" si="5"/>
        <v>33</v>
      </c>
      <c r="F71" s="62" t="s">
        <v>75</v>
      </c>
    </row>
    <row r="72" spans="1:6" ht="24.95" customHeight="1">
      <c r="A72" s="58" t="s">
        <v>93</v>
      </c>
      <c r="B72" s="6">
        <v>37</v>
      </c>
      <c r="C72" s="4" t="s">
        <v>63</v>
      </c>
      <c r="D72" s="220">
        <v>1.22</v>
      </c>
      <c r="E72" s="216">
        <f t="shared" si="5"/>
        <v>45.14</v>
      </c>
      <c r="F72" s="2" t="s">
        <v>35</v>
      </c>
    </row>
    <row r="73" spans="1:6" ht="24.95" customHeight="1">
      <c r="A73" s="64" t="s">
        <v>94</v>
      </c>
      <c r="B73" s="6">
        <v>0</v>
      </c>
      <c r="C73" s="4" t="s">
        <v>84</v>
      </c>
      <c r="D73" s="220">
        <v>1</v>
      </c>
      <c r="E73" s="216">
        <f t="shared" si="5"/>
        <v>0</v>
      </c>
      <c r="F73" s="2" t="s">
        <v>35</v>
      </c>
    </row>
    <row r="74" spans="1:6" ht="24.95" customHeight="1">
      <c r="A74" s="64" t="s">
        <v>95</v>
      </c>
      <c r="B74" s="6">
        <v>165</v>
      </c>
      <c r="C74" s="4" t="s">
        <v>34</v>
      </c>
      <c r="D74" s="220">
        <v>1.1000000000000001</v>
      </c>
      <c r="E74" s="216">
        <f t="shared" si="5"/>
        <v>181.50000000000003</v>
      </c>
      <c r="F74" s="2" t="s">
        <v>35</v>
      </c>
    </row>
    <row r="75" spans="1:6" ht="24.95" customHeight="1">
      <c r="A75" s="64" t="s">
        <v>96</v>
      </c>
      <c r="B75" s="6">
        <v>165</v>
      </c>
      <c r="C75" s="4" t="s">
        <v>34</v>
      </c>
      <c r="D75" s="220">
        <v>1.1000000000000001</v>
      </c>
      <c r="E75" s="216">
        <f t="shared" si="5"/>
        <v>181.50000000000003</v>
      </c>
      <c r="F75" s="2" t="s">
        <v>35</v>
      </c>
    </row>
    <row r="76" spans="1:6" ht="24.95" customHeight="1">
      <c r="A76" s="58" t="s">
        <v>97</v>
      </c>
      <c r="B76" s="6">
        <v>50</v>
      </c>
      <c r="C76" s="4" t="s">
        <v>34</v>
      </c>
      <c r="D76" s="220">
        <v>0.32</v>
      </c>
      <c r="E76" s="216">
        <f t="shared" si="5"/>
        <v>16</v>
      </c>
      <c r="F76" s="2" t="s">
        <v>35</v>
      </c>
    </row>
    <row r="77" spans="1:6" ht="24.95" customHeight="1">
      <c r="A77" s="58" t="s">
        <v>98</v>
      </c>
      <c r="B77" s="6">
        <v>1</v>
      </c>
      <c r="C77" s="4" t="s">
        <v>63</v>
      </c>
      <c r="D77" s="220">
        <v>8.93</v>
      </c>
      <c r="E77" s="216">
        <f t="shared" si="5"/>
        <v>8.93</v>
      </c>
      <c r="F77" s="2" t="s">
        <v>35</v>
      </c>
    </row>
    <row r="78" spans="1:6" ht="24.95" customHeight="1">
      <c r="A78" s="58" t="s">
        <v>99</v>
      </c>
      <c r="B78" s="6">
        <v>68</v>
      </c>
      <c r="C78" s="4" t="s">
        <v>63</v>
      </c>
      <c r="D78" s="220">
        <v>5.17</v>
      </c>
      <c r="E78" s="216">
        <f t="shared" si="5"/>
        <v>351.56</v>
      </c>
      <c r="F78" s="2" t="s">
        <v>35</v>
      </c>
    </row>
    <row r="79" spans="1:6" ht="24.95" customHeight="1">
      <c r="A79" s="58" t="s">
        <v>100</v>
      </c>
      <c r="B79" s="6">
        <v>8</v>
      </c>
      <c r="C79" s="4" t="s">
        <v>63</v>
      </c>
      <c r="D79" s="220">
        <v>21.66</v>
      </c>
      <c r="E79" s="216">
        <f t="shared" si="5"/>
        <v>173.28</v>
      </c>
      <c r="F79" s="2" t="s">
        <v>35</v>
      </c>
    </row>
    <row r="80" spans="1:6" ht="24.95" customHeight="1">
      <c r="A80" s="58" t="s">
        <v>101</v>
      </c>
      <c r="B80" s="6">
        <v>12</v>
      </c>
      <c r="C80" s="4" t="s">
        <v>63</v>
      </c>
      <c r="D80" s="220">
        <v>3.55</v>
      </c>
      <c r="E80" s="216">
        <f t="shared" si="5"/>
        <v>42.599999999999994</v>
      </c>
      <c r="F80" s="2" t="s">
        <v>35</v>
      </c>
    </row>
    <row r="81" spans="1:6" ht="24.95" customHeight="1">
      <c r="A81" s="61" t="s">
        <v>102</v>
      </c>
      <c r="B81" s="6">
        <v>20</v>
      </c>
      <c r="C81" s="4" t="s">
        <v>34</v>
      </c>
      <c r="D81" s="226">
        <v>2</v>
      </c>
      <c r="E81" s="216">
        <f t="shared" si="5"/>
        <v>40</v>
      </c>
      <c r="F81" s="62" t="s">
        <v>75</v>
      </c>
    </row>
    <row r="82" spans="1:6" ht="24.95" customHeight="1">
      <c r="A82" s="61" t="s">
        <v>103</v>
      </c>
      <c r="B82" s="6">
        <v>75</v>
      </c>
      <c r="C82" s="4" t="s">
        <v>34</v>
      </c>
      <c r="D82" s="226">
        <v>1.5</v>
      </c>
      <c r="E82" s="216">
        <f t="shared" si="5"/>
        <v>112.5</v>
      </c>
      <c r="F82" s="62" t="s">
        <v>75</v>
      </c>
    </row>
    <row r="83" spans="1:6" ht="24.95" customHeight="1">
      <c r="A83" s="61" t="s">
        <v>104</v>
      </c>
      <c r="B83" s="6">
        <v>30</v>
      </c>
      <c r="C83" s="4" t="s">
        <v>34</v>
      </c>
      <c r="D83" s="226">
        <v>6</v>
      </c>
      <c r="E83" s="216">
        <f t="shared" si="5"/>
        <v>180</v>
      </c>
      <c r="F83" s="62" t="s">
        <v>75</v>
      </c>
    </row>
    <row r="84" spans="1:6" ht="24.95" customHeight="1">
      <c r="A84" s="61" t="s">
        <v>105</v>
      </c>
      <c r="B84" s="6">
        <v>30</v>
      </c>
      <c r="C84" s="4" t="s">
        <v>34</v>
      </c>
      <c r="D84" s="226">
        <v>6</v>
      </c>
      <c r="E84" s="216">
        <f t="shared" si="5"/>
        <v>180</v>
      </c>
      <c r="F84" s="62" t="s">
        <v>75</v>
      </c>
    </row>
    <row r="85" spans="1:6" ht="24.95" customHeight="1">
      <c r="A85" s="61" t="s">
        <v>106</v>
      </c>
      <c r="B85" s="6">
        <v>75</v>
      </c>
      <c r="C85" s="4" t="s">
        <v>34</v>
      </c>
      <c r="D85" s="226">
        <v>4</v>
      </c>
      <c r="E85" s="216">
        <f t="shared" si="5"/>
        <v>300</v>
      </c>
      <c r="F85" s="62" t="s">
        <v>75</v>
      </c>
    </row>
    <row r="86" spans="1:6" ht="24.95" customHeight="1">
      <c r="A86" s="61" t="s">
        <v>107</v>
      </c>
      <c r="B86" s="6">
        <v>0</v>
      </c>
      <c r="C86" s="4" t="s">
        <v>86</v>
      </c>
      <c r="D86" s="226">
        <v>14</v>
      </c>
      <c r="E86" s="216">
        <f t="shared" si="5"/>
        <v>0</v>
      </c>
      <c r="F86" s="62" t="s">
        <v>75</v>
      </c>
    </row>
    <row r="87" spans="1:6" ht="24.95" customHeight="1">
      <c r="A87" s="61" t="s">
        <v>108</v>
      </c>
      <c r="B87" s="6">
        <v>19</v>
      </c>
      <c r="C87" s="4" t="s">
        <v>86</v>
      </c>
      <c r="D87" s="226">
        <v>25</v>
      </c>
      <c r="E87" s="216">
        <f t="shared" si="5"/>
        <v>475</v>
      </c>
      <c r="F87" s="62" t="s">
        <v>75</v>
      </c>
    </row>
    <row r="88" spans="1:6" ht="24.95" customHeight="1">
      <c r="A88" s="58" t="s">
        <v>109</v>
      </c>
      <c r="B88" s="6">
        <v>10</v>
      </c>
      <c r="C88" s="4" t="s">
        <v>63</v>
      </c>
      <c r="D88" s="220">
        <v>2.76</v>
      </c>
      <c r="E88" s="216">
        <f t="shared" si="5"/>
        <v>27.599999999999998</v>
      </c>
      <c r="F88" s="2" t="s">
        <v>35</v>
      </c>
    </row>
    <row r="89" spans="1:6" ht="24.95" customHeight="1">
      <c r="A89" s="58" t="s">
        <v>110</v>
      </c>
      <c r="B89" s="6">
        <v>2</v>
      </c>
      <c r="C89" s="4" t="s">
        <v>86</v>
      </c>
      <c r="D89" s="220">
        <v>11.26</v>
      </c>
      <c r="E89" s="216">
        <f t="shared" si="5"/>
        <v>22.52</v>
      </c>
      <c r="F89" s="2" t="s">
        <v>35</v>
      </c>
    </row>
    <row r="90" spans="1:6" ht="24.95" customHeight="1">
      <c r="A90" s="58" t="s">
        <v>111</v>
      </c>
      <c r="B90" s="6">
        <v>3</v>
      </c>
      <c r="C90" s="4" t="s">
        <v>86</v>
      </c>
      <c r="D90" s="220">
        <v>11.48</v>
      </c>
      <c r="E90" s="216">
        <f t="shared" si="5"/>
        <v>34.44</v>
      </c>
      <c r="F90" s="2" t="s">
        <v>35</v>
      </c>
    </row>
    <row r="91" spans="1:6" ht="24.95" customHeight="1">
      <c r="A91" s="58" t="s">
        <v>112</v>
      </c>
      <c r="B91" s="6">
        <v>2</v>
      </c>
      <c r="C91" s="4" t="s">
        <v>63</v>
      </c>
      <c r="D91" s="220">
        <v>5.42</v>
      </c>
      <c r="E91" s="216">
        <f t="shared" si="5"/>
        <v>10.84</v>
      </c>
      <c r="F91" s="2" t="s">
        <v>35</v>
      </c>
    </row>
    <row r="92" spans="1:6" ht="24.95" customHeight="1">
      <c r="A92" s="58" t="s">
        <v>113</v>
      </c>
      <c r="B92" s="6">
        <v>2</v>
      </c>
      <c r="C92" s="4" t="s">
        <v>86</v>
      </c>
      <c r="D92" s="220">
        <v>102.57</v>
      </c>
      <c r="E92" s="216">
        <f t="shared" si="5"/>
        <v>205.14</v>
      </c>
      <c r="F92" s="2" t="s">
        <v>35</v>
      </c>
    </row>
    <row r="93" spans="1:6" ht="24.95" customHeight="1">
      <c r="A93" s="58" t="s">
        <v>114</v>
      </c>
      <c r="B93" s="6">
        <v>1</v>
      </c>
      <c r="C93" s="4" t="s">
        <v>63</v>
      </c>
      <c r="D93" s="220">
        <v>40.92</v>
      </c>
      <c r="E93" s="216">
        <f t="shared" si="5"/>
        <v>40.92</v>
      </c>
      <c r="F93" s="2" t="s">
        <v>35</v>
      </c>
    </row>
    <row r="94" spans="1:6" ht="24.95" customHeight="1">
      <c r="A94" s="58" t="s">
        <v>115</v>
      </c>
      <c r="B94" s="6">
        <v>2</v>
      </c>
      <c r="C94" s="4" t="s">
        <v>63</v>
      </c>
      <c r="D94" s="220">
        <v>32.64</v>
      </c>
      <c r="E94" s="216">
        <f t="shared" si="5"/>
        <v>65.28</v>
      </c>
      <c r="F94" s="2" t="s">
        <v>35</v>
      </c>
    </row>
    <row r="95" spans="1:6" ht="24.95" customHeight="1">
      <c r="A95" s="58" t="s">
        <v>116</v>
      </c>
      <c r="B95" s="6">
        <v>2</v>
      </c>
      <c r="C95" s="4" t="s">
        <v>63</v>
      </c>
      <c r="D95" s="220">
        <v>38.64</v>
      </c>
      <c r="E95" s="216">
        <f t="shared" si="5"/>
        <v>77.28</v>
      </c>
      <c r="F95" s="2" t="s">
        <v>35</v>
      </c>
    </row>
    <row r="96" spans="1:6" ht="24.95" customHeight="1">
      <c r="A96" s="58" t="s">
        <v>117</v>
      </c>
      <c r="B96" s="6">
        <v>1</v>
      </c>
      <c r="C96" s="4" t="s">
        <v>63</v>
      </c>
      <c r="D96" s="220">
        <v>37.14</v>
      </c>
      <c r="E96" s="216">
        <f t="shared" si="5"/>
        <v>37.14</v>
      </c>
      <c r="F96" s="2" t="s">
        <v>35</v>
      </c>
    </row>
    <row r="97" spans="1:6" ht="24.95" customHeight="1">
      <c r="A97" s="58" t="s">
        <v>118</v>
      </c>
      <c r="B97" s="6">
        <v>7</v>
      </c>
      <c r="C97" s="4" t="s">
        <v>86</v>
      </c>
      <c r="D97" s="220">
        <v>38.42</v>
      </c>
      <c r="E97" s="216">
        <f t="shared" si="5"/>
        <v>268.94</v>
      </c>
      <c r="F97" s="2" t="s">
        <v>35</v>
      </c>
    </row>
    <row r="98" spans="1:6" ht="24.95" customHeight="1">
      <c r="A98" s="58" t="s">
        <v>119</v>
      </c>
      <c r="B98" s="6">
        <v>2</v>
      </c>
      <c r="C98" s="4" t="s">
        <v>63</v>
      </c>
      <c r="D98" s="220">
        <v>31</v>
      </c>
      <c r="E98" s="216">
        <f t="shared" si="5"/>
        <v>62</v>
      </c>
      <c r="F98" s="2" t="s">
        <v>35</v>
      </c>
    </row>
    <row r="99" spans="1:6" ht="24.95" customHeight="1">
      <c r="A99" s="58" t="s">
        <v>120</v>
      </c>
      <c r="B99" s="6">
        <v>4</v>
      </c>
      <c r="C99" s="4" t="s">
        <v>63</v>
      </c>
      <c r="D99" s="220">
        <v>7.93</v>
      </c>
      <c r="E99" s="216">
        <f t="shared" si="5"/>
        <v>31.72</v>
      </c>
      <c r="F99" s="2" t="s">
        <v>35</v>
      </c>
    </row>
    <row r="100" spans="1:6" ht="24.95" customHeight="1">
      <c r="A100" s="58" t="s">
        <v>121</v>
      </c>
      <c r="B100" s="6">
        <v>19</v>
      </c>
      <c r="C100" s="4" t="s">
        <v>63</v>
      </c>
      <c r="D100" s="220">
        <v>3.69</v>
      </c>
      <c r="E100" s="216">
        <f t="shared" si="5"/>
        <v>70.11</v>
      </c>
      <c r="F100" s="2" t="s">
        <v>35</v>
      </c>
    </row>
    <row r="101" spans="1:6" ht="24.95" customHeight="1">
      <c r="A101" s="58" t="s">
        <v>122</v>
      </c>
      <c r="B101" s="6">
        <v>30</v>
      </c>
      <c r="C101" s="4" t="s">
        <v>34</v>
      </c>
      <c r="D101" s="220">
        <v>2.48</v>
      </c>
      <c r="E101" s="216">
        <f t="shared" si="5"/>
        <v>74.400000000000006</v>
      </c>
      <c r="F101" s="2" t="s">
        <v>35</v>
      </c>
    </row>
    <row r="102" spans="1:6" ht="24.95" customHeight="1">
      <c r="A102" s="58" t="s">
        <v>123</v>
      </c>
      <c r="B102" s="6">
        <v>20</v>
      </c>
      <c r="C102" s="4" t="s">
        <v>63</v>
      </c>
      <c r="D102" s="220">
        <v>10.65</v>
      </c>
      <c r="E102" s="216">
        <f t="shared" si="5"/>
        <v>213</v>
      </c>
      <c r="F102" s="2" t="s">
        <v>35</v>
      </c>
    </row>
    <row r="103" spans="1:6" ht="24.95" customHeight="1">
      <c r="A103" s="58" t="s">
        <v>124</v>
      </c>
      <c r="B103" s="6">
        <v>3</v>
      </c>
      <c r="C103" s="4" t="s">
        <v>63</v>
      </c>
      <c r="D103" s="220">
        <v>9.5</v>
      </c>
      <c r="E103" s="216">
        <f t="shared" si="5"/>
        <v>28.5</v>
      </c>
      <c r="F103" s="2" t="s">
        <v>35</v>
      </c>
    </row>
    <row r="104" spans="1:6" ht="24.95" customHeight="1">
      <c r="A104" s="58" t="s">
        <v>125</v>
      </c>
      <c r="B104" s="6">
        <v>10</v>
      </c>
      <c r="C104" s="4" t="s">
        <v>63</v>
      </c>
      <c r="D104" s="220">
        <v>5.39</v>
      </c>
      <c r="E104" s="216">
        <f t="shared" si="5"/>
        <v>53.9</v>
      </c>
      <c r="F104" s="2" t="s">
        <v>35</v>
      </c>
    </row>
    <row r="105" spans="1:6" ht="24.95" customHeight="1">
      <c r="A105" s="58" t="s">
        <v>126</v>
      </c>
      <c r="B105" s="6">
        <v>15</v>
      </c>
      <c r="C105" s="4" t="s">
        <v>63</v>
      </c>
      <c r="D105" s="220">
        <v>13.82</v>
      </c>
      <c r="E105" s="216">
        <f t="shared" si="5"/>
        <v>207.3</v>
      </c>
      <c r="F105" s="2" t="s">
        <v>35</v>
      </c>
    </row>
    <row r="106" spans="1:6" ht="24.95" customHeight="1">
      <c r="A106" s="58" t="s">
        <v>127</v>
      </c>
      <c r="B106" s="6">
        <v>200</v>
      </c>
      <c r="C106" s="4" t="s">
        <v>34</v>
      </c>
      <c r="D106" s="220">
        <v>1.17</v>
      </c>
      <c r="E106" s="216">
        <f t="shared" si="5"/>
        <v>234</v>
      </c>
      <c r="F106" s="2" t="s">
        <v>35</v>
      </c>
    </row>
    <row r="107" spans="1:6" ht="24.95" customHeight="1">
      <c r="A107" s="58" t="s">
        <v>128</v>
      </c>
      <c r="B107" s="6">
        <v>3</v>
      </c>
      <c r="C107" s="4" t="s">
        <v>63</v>
      </c>
      <c r="D107" s="220">
        <v>2.5499999999999998</v>
      </c>
      <c r="E107" s="216">
        <f t="shared" si="5"/>
        <v>7.6499999999999995</v>
      </c>
      <c r="F107" s="2" t="s">
        <v>35</v>
      </c>
    </row>
    <row r="108" spans="1:6" ht="24.95" customHeight="1">
      <c r="A108" s="58" t="s">
        <v>129</v>
      </c>
      <c r="B108" s="6">
        <v>33</v>
      </c>
      <c r="C108" s="4" t="s">
        <v>63</v>
      </c>
      <c r="D108" s="220">
        <v>9.0399999999999991</v>
      </c>
      <c r="E108" s="216">
        <f t="shared" si="5"/>
        <v>298.32</v>
      </c>
      <c r="F108" s="2" t="s">
        <v>35</v>
      </c>
    </row>
    <row r="109" spans="1:6" ht="24.95" customHeight="1">
      <c r="A109" s="58" t="s">
        <v>130</v>
      </c>
      <c r="B109" s="6">
        <v>1</v>
      </c>
      <c r="C109" s="4" t="s">
        <v>86</v>
      </c>
      <c r="D109" s="220">
        <v>61.49</v>
      </c>
      <c r="E109" s="216">
        <f t="shared" si="5"/>
        <v>61.49</v>
      </c>
      <c r="F109" s="2" t="s">
        <v>35</v>
      </c>
    </row>
    <row r="110" spans="1:6" ht="24.95" customHeight="1">
      <c r="A110" s="58" t="s">
        <v>131</v>
      </c>
      <c r="B110" s="6">
        <v>3</v>
      </c>
      <c r="C110" s="4" t="s">
        <v>86</v>
      </c>
      <c r="D110" s="220">
        <v>13.07</v>
      </c>
      <c r="E110" s="216">
        <f t="shared" ref="E110:E146" si="6">B110*D110</f>
        <v>39.21</v>
      </c>
      <c r="F110" s="2" t="s">
        <v>35</v>
      </c>
    </row>
    <row r="111" spans="1:6" ht="24.95" customHeight="1">
      <c r="A111" s="58" t="s">
        <v>132</v>
      </c>
      <c r="B111" s="6">
        <v>25</v>
      </c>
      <c r="C111" s="4" t="s">
        <v>63</v>
      </c>
      <c r="D111" s="220">
        <v>2.1</v>
      </c>
      <c r="E111" s="216">
        <f t="shared" si="6"/>
        <v>52.5</v>
      </c>
      <c r="F111" s="2" t="s">
        <v>35</v>
      </c>
    </row>
    <row r="112" spans="1:6" ht="24.95" customHeight="1">
      <c r="A112" s="58" t="s">
        <v>133</v>
      </c>
      <c r="B112" s="6">
        <v>6</v>
      </c>
      <c r="C112" s="4" t="s">
        <v>63</v>
      </c>
      <c r="D112" s="220">
        <v>4.1399999999999997</v>
      </c>
      <c r="E112" s="216">
        <f t="shared" si="6"/>
        <v>24.839999999999996</v>
      </c>
      <c r="F112" s="2" t="s">
        <v>35</v>
      </c>
    </row>
    <row r="113" spans="1:6" ht="24.95" customHeight="1">
      <c r="A113" s="58" t="s">
        <v>134</v>
      </c>
      <c r="B113" s="6">
        <v>0</v>
      </c>
      <c r="C113" s="4" t="s">
        <v>63</v>
      </c>
      <c r="D113" s="220"/>
      <c r="E113" s="216">
        <f t="shared" si="6"/>
        <v>0</v>
      </c>
      <c r="F113" s="2" t="s">
        <v>35</v>
      </c>
    </row>
    <row r="114" spans="1:6" ht="24.95" customHeight="1">
      <c r="A114" s="58" t="s">
        <v>135</v>
      </c>
      <c r="B114" s="6">
        <v>5</v>
      </c>
      <c r="C114" s="4" t="s">
        <v>63</v>
      </c>
      <c r="D114" s="220">
        <v>5.64</v>
      </c>
      <c r="E114" s="216">
        <f t="shared" si="6"/>
        <v>28.2</v>
      </c>
      <c r="F114" s="2" t="s">
        <v>35</v>
      </c>
    </row>
    <row r="115" spans="1:6" ht="24.95" customHeight="1">
      <c r="A115" s="61" t="s">
        <v>136</v>
      </c>
      <c r="B115" s="6">
        <v>2</v>
      </c>
      <c r="C115" s="4" t="s">
        <v>86</v>
      </c>
      <c r="D115" s="226">
        <v>8</v>
      </c>
      <c r="E115" s="216">
        <f t="shared" si="6"/>
        <v>16</v>
      </c>
      <c r="F115" s="65" t="s">
        <v>75</v>
      </c>
    </row>
    <row r="116" spans="1:6" ht="24.95" customHeight="1">
      <c r="A116" s="58" t="s">
        <v>137</v>
      </c>
      <c r="B116" s="6">
        <v>6</v>
      </c>
      <c r="C116" s="4" t="s">
        <v>63</v>
      </c>
      <c r="D116" s="220">
        <v>7.26</v>
      </c>
      <c r="E116" s="216">
        <f t="shared" si="6"/>
        <v>43.56</v>
      </c>
      <c r="F116" s="2" t="s">
        <v>35</v>
      </c>
    </row>
    <row r="117" spans="1:6" ht="24.95" customHeight="1">
      <c r="A117" s="58" t="s">
        <v>138</v>
      </c>
      <c r="B117" s="6">
        <v>8</v>
      </c>
      <c r="C117" s="4" t="s">
        <v>63</v>
      </c>
      <c r="D117" s="220">
        <v>10.41</v>
      </c>
      <c r="E117" s="216">
        <f t="shared" si="6"/>
        <v>83.28</v>
      </c>
      <c r="F117" s="2" t="s">
        <v>35</v>
      </c>
    </row>
    <row r="118" spans="1:6" ht="24.95" customHeight="1">
      <c r="A118" s="58" t="s">
        <v>139</v>
      </c>
      <c r="B118" s="6">
        <v>6</v>
      </c>
      <c r="C118" s="4" t="s">
        <v>63</v>
      </c>
      <c r="D118" s="220">
        <v>15.38</v>
      </c>
      <c r="E118" s="216">
        <f t="shared" si="6"/>
        <v>92.28</v>
      </c>
      <c r="F118" s="2" t="s">
        <v>35</v>
      </c>
    </row>
    <row r="119" spans="1:6" ht="24.95" customHeight="1">
      <c r="A119" s="58" t="s">
        <v>140</v>
      </c>
      <c r="B119" s="6">
        <v>11</v>
      </c>
      <c r="C119" s="4" t="s">
        <v>63</v>
      </c>
      <c r="D119" s="220">
        <v>9.81</v>
      </c>
      <c r="E119" s="216">
        <f t="shared" si="6"/>
        <v>107.91000000000001</v>
      </c>
      <c r="F119" s="2" t="s">
        <v>35</v>
      </c>
    </row>
    <row r="120" spans="1:6" ht="24.95" customHeight="1">
      <c r="A120" s="58" t="s">
        <v>141</v>
      </c>
      <c r="B120" s="6">
        <v>3</v>
      </c>
      <c r="C120" s="4" t="s">
        <v>63</v>
      </c>
      <c r="D120" s="220">
        <v>12.29</v>
      </c>
      <c r="E120" s="216">
        <f t="shared" si="6"/>
        <v>36.869999999999997</v>
      </c>
      <c r="F120" s="2" t="s">
        <v>35</v>
      </c>
    </row>
    <row r="121" spans="1:6" ht="24.95" customHeight="1">
      <c r="A121" s="58" t="s">
        <v>142</v>
      </c>
      <c r="B121" s="6">
        <v>5</v>
      </c>
      <c r="C121" s="4" t="s">
        <v>63</v>
      </c>
      <c r="D121" s="220">
        <v>11.9</v>
      </c>
      <c r="E121" s="216">
        <f t="shared" si="6"/>
        <v>59.5</v>
      </c>
      <c r="F121" s="2" t="s">
        <v>35</v>
      </c>
    </row>
    <row r="122" spans="1:6" ht="24.95" customHeight="1">
      <c r="A122" s="58" t="s">
        <v>143</v>
      </c>
      <c r="B122" s="6">
        <v>1</v>
      </c>
      <c r="C122" s="4" t="s">
        <v>63</v>
      </c>
      <c r="D122" s="220">
        <v>16.579999999999998</v>
      </c>
      <c r="E122" s="216">
        <f t="shared" si="6"/>
        <v>16.579999999999998</v>
      </c>
      <c r="F122" s="2" t="s">
        <v>35</v>
      </c>
    </row>
    <row r="123" spans="1:6" ht="24.95" customHeight="1">
      <c r="A123" s="58" t="s">
        <v>144</v>
      </c>
      <c r="B123" s="6">
        <v>8</v>
      </c>
      <c r="C123" s="4" t="s">
        <v>63</v>
      </c>
      <c r="D123" s="220">
        <v>8.31</v>
      </c>
      <c r="E123" s="216">
        <f t="shared" si="6"/>
        <v>66.48</v>
      </c>
      <c r="F123" s="2" t="s">
        <v>35</v>
      </c>
    </row>
    <row r="124" spans="1:6" ht="24.95" customHeight="1">
      <c r="A124" s="58" t="s">
        <v>145</v>
      </c>
      <c r="B124" s="6">
        <v>2</v>
      </c>
      <c r="C124" s="4" t="s">
        <v>63</v>
      </c>
      <c r="D124" s="220">
        <v>64.02</v>
      </c>
      <c r="E124" s="216">
        <f t="shared" si="6"/>
        <v>128.04</v>
      </c>
      <c r="F124" s="2" t="s">
        <v>35</v>
      </c>
    </row>
    <row r="125" spans="1:6" ht="24.95" customHeight="1">
      <c r="A125" s="58" t="s">
        <v>146</v>
      </c>
      <c r="B125" s="6">
        <v>0</v>
      </c>
      <c r="C125" s="4" t="s">
        <v>63</v>
      </c>
      <c r="D125" s="220">
        <v>17.66</v>
      </c>
      <c r="E125" s="216">
        <f t="shared" si="6"/>
        <v>0</v>
      </c>
      <c r="F125" s="2" t="s">
        <v>35</v>
      </c>
    </row>
    <row r="126" spans="1:6" ht="24.95" customHeight="1">
      <c r="A126" s="58" t="s">
        <v>147</v>
      </c>
      <c r="B126" s="6">
        <v>0</v>
      </c>
      <c r="C126" s="4" t="s">
        <v>63</v>
      </c>
      <c r="D126" s="220">
        <v>14.64</v>
      </c>
      <c r="E126" s="216">
        <f t="shared" si="6"/>
        <v>0</v>
      </c>
      <c r="F126" s="2" t="s">
        <v>35</v>
      </c>
    </row>
    <row r="127" spans="1:6" ht="24.95" customHeight="1">
      <c r="A127" s="58" t="s">
        <v>148</v>
      </c>
      <c r="B127" s="6">
        <v>2</v>
      </c>
      <c r="C127" s="4" t="s">
        <v>63</v>
      </c>
      <c r="D127" s="220">
        <v>68.239999999999995</v>
      </c>
      <c r="E127" s="216">
        <f t="shared" si="6"/>
        <v>136.47999999999999</v>
      </c>
      <c r="F127" s="2" t="s">
        <v>35</v>
      </c>
    </row>
    <row r="128" spans="1:6" ht="24.95" customHeight="1">
      <c r="A128" s="58" t="s">
        <v>149</v>
      </c>
      <c r="B128" s="6">
        <v>1</v>
      </c>
      <c r="C128" s="4" t="s">
        <v>63</v>
      </c>
      <c r="D128" s="220">
        <v>32.11</v>
      </c>
      <c r="E128" s="216">
        <f t="shared" si="6"/>
        <v>32.11</v>
      </c>
      <c r="F128" s="2" t="s">
        <v>35</v>
      </c>
    </row>
    <row r="129" spans="1:6" ht="24.95" customHeight="1">
      <c r="A129" s="58" t="s">
        <v>150</v>
      </c>
      <c r="B129" s="6">
        <v>6</v>
      </c>
      <c r="C129" s="4" t="s">
        <v>63</v>
      </c>
      <c r="D129" s="220">
        <v>10.61</v>
      </c>
      <c r="E129" s="216">
        <f t="shared" si="6"/>
        <v>63.66</v>
      </c>
      <c r="F129" s="2" t="s">
        <v>35</v>
      </c>
    </row>
    <row r="130" spans="1:6" ht="24.95" customHeight="1">
      <c r="A130" s="58" t="s">
        <v>151</v>
      </c>
      <c r="B130" s="6">
        <v>8</v>
      </c>
      <c r="C130" s="4" t="s">
        <v>34</v>
      </c>
      <c r="D130" s="220">
        <v>1.98</v>
      </c>
      <c r="E130" s="216">
        <f t="shared" si="6"/>
        <v>15.84</v>
      </c>
      <c r="F130" s="2" t="s">
        <v>35</v>
      </c>
    </row>
    <row r="131" spans="1:6" ht="24.95" customHeight="1">
      <c r="A131" s="58" t="s">
        <v>152</v>
      </c>
      <c r="B131" s="6">
        <v>3</v>
      </c>
      <c r="C131" s="4" t="s">
        <v>153</v>
      </c>
      <c r="D131" s="220">
        <v>20.84</v>
      </c>
      <c r="E131" s="216">
        <f t="shared" si="6"/>
        <v>62.519999999999996</v>
      </c>
      <c r="F131" s="2" t="s">
        <v>35</v>
      </c>
    </row>
    <row r="132" spans="1:6" ht="24.95" customHeight="1">
      <c r="A132" s="58" t="s">
        <v>154</v>
      </c>
      <c r="B132" s="6">
        <v>75</v>
      </c>
      <c r="C132" s="4" t="s">
        <v>34</v>
      </c>
      <c r="D132" s="220">
        <v>0.9</v>
      </c>
      <c r="E132" s="216">
        <f t="shared" si="6"/>
        <v>67.5</v>
      </c>
      <c r="F132" s="2" t="s">
        <v>35</v>
      </c>
    </row>
    <row r="133" spans="1:6" ht="24.95" customHeight="1">
      <c r="A133" s="58" t="s">
        <v>155</v>
      </c>
      <c r="B133" s="6">
        <v>20</v>
      </c>
      <c r="C133" s="4" t="s">
        <v>153</v>
      </c>
      <c r="D133" s="220">
        <v>4.5599999999999996</v>
      </c>
      <c r="E133" s="216">
        <f t="shared" si="6"/>
        <v>91.199999999999989</v>
      </c>
      <c r="F133" s="2" t="s">
        <v>35</v>
      </c>
    </row>
    <row r="134" spans="1:6" ht="24.95" customHeight="1">
      <c r="A134" s="58" t="s">
        <v>156</v>
      </c>
      <c r="B134" s="6">
        <v>2</v>
      </c>
      <c r="C134" s="4" t="s">
        <v>153</v>
      </c>
      <c r="D134" s="220">
        <v>19.670000000000002</v>
      </c>
      <c r="E134" s="216">
        <f t="shared" si="6"/>
        <v>39.340000000000003</v>
      </c>
      <c r="F134" s="2" t="s">
        <v>35</v>
      </c>
    </row>
    <row r="135" spans="1:6" ht="24.95" customHeight="1">
      <c r="A135" s="58" t="s">
        <v>157</v>
      </c>
      <c r="B135" s="6">
        <v>2</v>
      </c>
      <c r="C135" s="4" t="s">
        <v>153</v>
      </c>
      <c r="D135" s="220">
        <v>35.49</v>
      </c>
      <c r="E135" s="216">
        <f t="shared" si="6"/>
        <v>70.98</v>
      </c>
      <c r="F135" s="2" t="s">
        <v>35</v>
      </c>
    </row>
    <row r="136" spans="1:6" ht="24.95" customHeight="1">
      <c r="A136" s="58" t="s">
        <v>158</v>
      </c>
      <c r="B136" s="6">
        <v>2</v>
      </c>
      <c r="C136" s="4" t="s">
        <v>153</v>
      </c>
      <c r="D136" s="220">
        <v>20.010000000000002</v>
      </c>
      <c r="E136" s="216">
        <f t="shared" si="6"/>
        <v>40.020000000000003</v>
      </c>
      <c r="F136" s="2" t="s">
        <v>35</v>
      </c>
    </row>
    <row r="137" spans="1:6" ht="24.95" customHeight="1">
      <c r="A137" s="58" t="s">
        <v>159</v>
      </c>
      <c r="B137" s="6">
        <v>0.7</v>
      </c>
      <c r="C137" s="4" t="s">
        <v>153</v>
      </c>
      <c r="D137" s="220">
        <v>15.82</v>
      </c>
      <c r="E137" s="216">
        <f t="shared" si="6"/>
        <v>11.074</v>
      </c>
      <c r="F137" s="2" t="s">
        <v>35</v>
      </c>
    </row>
    <row r="138" spans="1:6" ht="24.95" customHeight="1">
      <c r="A138" s="58" t="s">
        <v>160</v>
      </c>
      <c r="B138" s="6">
        <v>0</v>
      </c>
      <c r="C138" s="4" t="s">
        <v>34</v>
      </c>
      <c r="D138" s="220">
        <v>5.56</v>
      </c>
      <c r="E138" s="216">
        <f t="shared" si="6"/>
        <v>0</v>
      </c>
      <c r="F138" s="2" t="s">
        <v>35</v>
      </c>
    </row>
    <row r="139" spans="1:6" ht="24.95" customHeight="1">
      <c r="A139" s="58" t="s">
        <v>161</v>
      </c>
      <c r="B139" s="6">
        <v>30</v>
      </c>
      <c r="C139" s="4" t="s">
        <v>63</v>
      </c>
      <c r="D139" s="220">
        <v>2.15</v>
      </c>
      <c r="E139" s="216">
        <f t="shared" si="6"/>
        <v>64.5</v>
      </c>
      <c r="F139" s="2" t="s">
        <v>35</v>
      </c>
    </row>
    <row r="140" spans="1:6" ht="24.95" customHeight="1">
      <c r="A140" s="58" t="s">
        <v>162</v>
      </c>
      <c r="B140" s="6">
        <v>14</v>
      </c>
      <c r="C140" s="4" t="s">
        <v>63</v>
      </c>
      <c r="D140" s="220">
        <v>2.15</v>
      </c>
      <c r="E140" s="216">
        <f t="shared" si="6"/>
        <v>30.099999999999998</v>
      </c>
      <c r="F140" s="2" t="s">
        <v>35</v>
      </c>
    </row>
    <row r="141" spans="1:6" ht="24.95" customHeight="1">
      <c r="A141" s="58" t="s">
        <v>163</v>
      </c>
      <c r="B141" s="6">
        <v>8</v>
      </c>
      <c r="C141" s="4" t="s">
        <v>63</v>
      </c>
      <c r="D141" s="220">
        <v>3.3</v>
      </c>
      <c r="E141" s="216">
        <f t="shared" si="6"/>
        <v>26.4</v>
      </c>
      <c r="F141" s="2" t="s">
        <v>35</v>
      </c>
    </row>
    <row r="142" spans="1:6" ht="24.95" customHeight="1">
      <c r="A142" s="58" t="s">
        <v>164</v>
      </c>
      <c r="B142" s="6">
        <v>16</v>
      </c>
      <c r="C142" s="4" t="s">
        <v>63</v>
      </c>
      <c r="D142" s="220">
        <v>8.85</v>
      </c>
      <c r="E142" s="216">
        <f t="shared" si="6"/>
        <v>141.6</v>
      </c>
      <c r="F142" s="2" t="s">
        <v>35</v>
      </c>
    </row>
    <row r="143" spans="1:6" ht="24.95" customHeight="1">
      <c r="A143" s="58" t="s">
        <v>165</v>
      </c>
      <c r="B143" s="6">
        <v>1</v>
      </c>
      <c r="C143" s="4" t="s">
        <v>63</v>
      </c>
      <c r="D143" s="220">
        <v>4.84</v>
      </c>
      <c r="E143" s="216">
        <f t="shared" si="6"/>
        <v>4.84</v>
      </c>
      <c r="F143" s="2" t="s">
        <v>35</v>
      </c>
    </row>
    <row r="144" spans="1:6" ht="24.95" customHeight="1">
      <c r="A144" s="58" t="s">
        <v>166</v>
      </c>
      <c r="B144" s="6">
        <v>2</v>
      </c>
      <c r="C144" s="4" t="s">
        <v>63</v>
      </c>
      <c r="D144" s="220">
        <v>17.54</v>
      </c>
      <c r="E144" s="216">
        <f t="shared" si="6"/>
        <v>35.08</v>
      </c>
      <c r="F144" s="2" t="s">
        <v>35</v>
      </c>
    </row>
    <row r="145" spans="1:6" ht="24.95" customHeight="1">
      <c r="A145" s="58" t="s">
        <v>167</v>
      </c>
      <c r="B145" s="6">
        <v>6</v>
      </c>
      <c r="C145" s="4" t="s">
        <v>86</v>
      </c>
      <c r="D145" s="220">
        <v>15.04</v>
      </c>
      <c r="E145" s="216">
        <f t="shared" si="6"/>
        <v>90.24</v>
      </c>
      <c r="F145" s="2" t="s">
        <v>35</v>
      </c>
    </row>
    <row r="146" spans="1:6" ht="24.95" customHeight="1">
      <c r="A146" s="58" t="s">
        <v>168</v>
      </c>
      <c r="B146" s="6">
        <v>4</v>
      </c>
      <c r="C146" s="4" t="s">
        <v>86</v>
      </c>
      <c r="D146" s="220">
        <v>3.87</v>
      </c>
      <c r="E146" s="216">
        <f t="shared" si="6"/>
        <v>15.48</v>
      </c>
      <c r="F146" s="2" t="s">
        <v>35</v>
      </c>
    </row>
    <row r="147" spans="1:6" ht="34.5" customHeight="1">
      <c r="A147" s="235"/>
      <c r="B147" s="59"/>
      <c r="C147" s="184"/>
      <c r="D147" s="223" t="s">
        <v>20</v>
      </c>
      <c r="E147" s="60">
        <f>SUM(E45:E146)</f>
        <v>9462.3340000000007</v>
      </c>
      <c r="F147" s="236"/>
    </row>
    <row r="148" spans="1:6" ht="24.75" customHeight="1">
      <c r="A148" s="237" t="s">
        <v>169</v>
      </c>
      <c r="B148" s="57" t="s">
        <v>27</v>
      </c>
      <c r="C148" s="57" t="s">
        <v>25</v>
      </c>
      <c r="D148" s="238" t="s">
        <v>28</v>
      </c>
      <c r="E148" s="57" t="s">
        <v>29</v>
      </c>
      <c r="F148" s="57" t="s">
        <v>30</v>
      </c>
    </row>
    <row r="149" spans="1:6" ht="24.95" customHeight="1">
      <c r="A149" s="58" t="s">
        <v>170</v>
      </c>
      <c r="B149" s="6">
        <v>0</v>
      </c>
      <c r="C149" s="4" t="s">
        <v>153</v>
      </c>
      <c r="D149" s="220">
        <v>35.549999999999997</v>
      </c>
      <c r="E149" s="216">
        <f t="shared" ref="E149:E180" si="7">B149*D149</f>
        <v>0</v>
      </c>
      <c r="F149" s="2" t="s">
        <v>171</v>
      </c>
    </row>
    <row r="150" spans="1:6" ht="24.95" customHeight="1">
      <c r="A150" s="58" t="s">
        <v>172</v>
      </c>
      <c r="B150" s="6">
        <v>7</v>
      </c>
      <c r="C150" s="4" t="s">
        <v>153</v>
      </c>
      <c r="D150" s="220">
        <v>23.54</v>
      </c>
      <c r="E150" s="216">
        <f t="shared" si="7"/>
        <v>164.78</v>
      </c>
      <c r="F150" s="2" t="s">
        <v>171</v>
      </c>
    </row>
    <row r="151" spans="1:6" ht="24.95" customHeight="1">
      <c r="A151" s="58" t="s">
        <v>173</v>
      </c>
      <c r="B151" s="6">
        <v>50</v>
      </c>
      <c r="C151" s="4" t="s">
        <v>63</v>
      </c>
      <c r="D151" s="220">
        <v>0.73</v>
      </c>
      <c r="E151" s="216">
        <f t="shared" si="7"/>
        <v>36.5</v>
      </c>
      <c r="F151" s="2" t="s">
        <v>171</v>
      </c>
    </row>
    <row r="152" spans="1:6" ht="24.95" customHeight="1">
      <c r="A152" s="58" t="s">
        <v>174</v>
      </c>
      <c r="B152" s="6">
        <v>10</v>
      </c>
      <c r="C152" s="4" t="s">
        <v>34</v>
      </c>
      <c r="D152" s="220">
        <v>1.28</v>
      </c>
      <c r="E152" s="216">
        <f t="shared" si="7"/>
        <v>12.8</v>
      </c>
      <c r="F152" s="2" t="s">
        <v>171</v>
      </c>
    </row>
    <row r="153" spans="1:6" ht="24.95" customHeight="1">
      <c r="A153" s="58" t="s">
        <v>175</v>
      </c>
      <c r="B153" s="6">
        <v>2</v>
      </c>
      <c r="C153" s="4" t="s">
        <v>63</v>
      </c>
      <c r="D153" s="220">
        <v>6.51</v>
      </c>
      <c r="E153" s="216">
        <f t="shared" si="7"/>
        <v>13.02</v>
      </c>
      <c r="F153" s="2" t="s">
        <v>171</v>
      </c>
    </row>
    <row r="154" spans="1:6" ht="24.95" customHeight="1">
      <c r="A154" s="58" t="s">
        <v>176</v>
      </c>
      <c r="B154" s="6">
        <v>2</v>
      </c>
      <c r="C154" s="4" t="s">
        <v>153</v>
      </c>
      <c r="D154" s="220">
        <v>19.95</v>
      </c>
      <c r="E154" s="216">
        <f t="shared" si="7"/>
        <v>39.9</v>
      </c>
      <c r="F154" s="2" t="s">
        <v>171</v>
      </c>
    </row>
    <row r="155" spans="1:6" ht="24.95" customHeight="1">
      <c r="A155" s="58" t="s">
        <v>177</v>
      </c>
      <c r="B155" s="6">
        <v>7</v>
      </c>
      <c r="C155" s="4" t="s">
        <v>63</v>
      </c>
      <c r="D155" s="220">
        <v>19.079999999999998</v>
      </c>
      <c r="E155" s="216">
        <f t="shared" si="7"/>
        <v>133.56</v>
      </c>
      <c r="F155" s="2" t="s">
        <v>171</v>
      </c>
    </row>
    <row r="156" spans="1:6" ht="24.95" customHeight="1">
      <c r="A156" s="58" t="s">
        <v>178</v>
      </c>
      <c r="B156" s="6">
        <v>15</v>
      </c>
      <c r="C156" s="4" t="s">
        <v>34</v>
      </c>
      <c r="D156" s="220">
        <v>2.57</v>
      </c>
      <c r="E156" s="216">
        <f t="shared" si="7"/>
        <v>38.549999999999997</v>
      </c>
      <c r="F156" s="2" t="s">
        <v>171</v>
      </c>
    </row>
    <row r="157" spans="1:6" ht="24.95" customHeight="1">
      <c r="A157" s="58" t="s">
        <v>179</v>
      </c>
      <c r="B157" s="6">
        <v>1</v>
      </c>
      <c r="C157" s="4" t="s">
        <v>153</v>
      </c>
      <c r="D157" s="220">
        <v>28.94</v>
      </c>
      <c r="E157" s="216">
        <f t="shared" si="7"/>
        <v>28.94</v>
      </c>
      <c r="F157" s="2" t="s">
        <v>171</v>
      </c>
    </row>
    <row r="158" spans="1:6" ht="24.95" customHeight="1">
      <c r="A158" s="58" t="s">
        <v>180</v>
      </c>
      <c r="B158" s="6">
        <v>4</v>
      </c>
      <c r="C158" s="4" t="s">
        <v>34</v>
      </c>
      <c r="D158" s="220">
        <v>8.2200000000000006</v>
      </c>
      <c r="E158" s="216">
        <f t="shared" si="7"/>
        <v>32.880000000000003</v>
      </c>
      <c r="F158" s="2" t="s">
        <v>171</v>
      </c>
    </row>
    <row r="159" spans="1:6" ht="24.95" customHeight="1">
      <c r="A159" s="58" t="s">
        <v>181</v>
      </c>
      <c r="B159" s="6">
        <v>0</v>
      </c>
      <c r="C159" s="4" t="s">
        <v>153</v>
      </c>
      <c r="D159" s="220">
        <v>30.36</v>
      </c>
      <c r="E159" s="216">
        <f t="shared" si="7"/>
        <v>0</v>
      </c>
      <c r="F159" s="2" t="s">
        <v>171</v>
      </c>
    </row>
    <row r="160" spans="1:6" ht="24.95" customHeight="1">
      <c r="A160" s="58" t="s">
        <v>182</v>
      </c>
      <c r="B160" s="6">
        <v>1</v>
      </c>
      <c r="C160" s="4" t="s">
        <v>34</v>
      </c>
      <c r="D160" s="220">
        <v>7.92</v>
      </c>
      <c r="E160" s="216">
        <f t="shared" si="7"/>
        <v>7.92</v>
      </c>
      <c r="F160" s="2" t="s">
        <v>171</v>
      </c>
    </row>
    <row r="161" spans="1:6" ht="24.95" customHeight="1">
      <c r="A161" s="58" t="s">
        <v>183</v>
      </c>
      <c r="B161" s="6">
        <v>1</v>
      </c>
      <c r="C161" s="4" t="s">
        <v>34</v>
      </c>
      <c r="D161" s="220">
        <v>8.2200000000000006</v>
      </c>
      <c r="E161" s="216">
        <f t="shared" si="7"/>
        <v>8.2200000000000006</v>
      </c>
      <c r="F161" s="2" t="s">
        <v>171</v>
      </c>
    </row>
    <row r="162" spans="1:6" ht="24.95" customHeight="1">
      <c r="A162" s="58" t="s">
        <v>184</v>
      </c>
      <c r="B162" s="6">
        <v>8</v>
      </c>
      <c r="C162" s="4" t="s">
        <v>84</v>
      </c>
      <c r="D162" s="220">
        <v>6.4</v>
      </c>
      <c r="E162" s="216">
        <f t="shared" si="7"/>
        <v>51.2</v>
      </c>
      <c r="F162" s="2" t="s">
        <v>171</v>
      </c>
    </row>
    <row r="163" spans="1:6" ht="24.95" customHeight="1">
      <c r="A163" s="58" t="s">
        <v>185</v>
      </c>
      <c r="B163" s="6">
        <v>1.5</v>
      </c>
      <c r="C163" s="4" t="s">
        <v>153</v>
      </c>
      <c r="D163" s="220">
        <v>42.06</v>
      </c>
      <c r="E163" s="216">
        <f t="shared" si="7"/>
        <v>63.09</v>
      </c>
      <c r="F163" s="2" t="s">
        <v>171</v>
      </c>
    </row>
    <row r="164" spans="1:6" ht="24.95" customHeight="1">
      <c r="A164" s="58" t="s">
        <v>186</v>
      </c>
      <c r="B164" s="6">
        <v>1</v>
      </c>
      <c r="C164" s="4" t="s">
        <v>153</v>
      </c>
      <c r="D164" s="220">
        <v>49.71</v>
      </c>
      <c r="E164" s="216">
        <f t="shared" si="7"/>
        <v>49.71</v>
      </c>
      <c r="F164" s="2" t="s">
        <v>171</v>
      </c>
    </row>
    <row r="165" spans="1:6" ht="24.95" customHeight="1">
      <c r="A165" s="58" t="s">
        <v>187</v>
      </c>
      <c r="B165" s="6">
        <v>2</v>
      </c>
      <c r="C165" s="4" t="s">
        <v>153</v>
      </c>
      <c r="D165" s="220">
        <v>69.42</v>
      </c>
      <c r="E165" s="216">
        <f t="shared" si="7"/>
        <v>138.84</v>
      </c>
      <c r="F165" s="2" t="s">
        <v>171</v>
      </c>
    </row>
    <row r="166" spans="1:6" ht="24.95" customHeight="1">
      <c r="A166" s="58" t="s">
        <v>188</v>
      </c>
      <c r="B166" s="6">
        <v>2</v>
      </c>
      <c r="C166" s="4" t="s">
        <v>84</v>
      </c>
      <c r="D166" s="220">
        <v>32.700000000000003</v>
      </c>
      <c r="E166" s="216">
        <f t="shared" si="7"/>
        <v>65.400000000000006</v>
      </c>
      <c r="F166" s="2" t="s">
        <v>171</v>
      </c>
    </row>
    <row r="167" spans="1:6" ht="24.95" customHeight="1">
      <c r="A167" s="58" t="s">
        <v>189</v>
      </c>
      <c r="B167" s="6">
        <v>1</v>
      </c>
      <c r="C167" s="4" t="s">
        <v>153</v>
      </c>
      <c r="D167" s="220">
        <v>25.24</v>
      </c>
      <c r="E167" s="216">
        <f t="shared" si="7"/>
        <v>25.24</v>
      </c>
      <c r="F167" s="2" t="s">
        <v>171</v>
      </c>
    </row>
    <row r="168" spans="1:6" ht="24.95" customHeight="1">
      <c r="A168" s="58" t="s">
        <v>190</v>
      </c>
      <c r="B168" s="6">
        <v>0</v>
      </c>
      <c r="C168" s="4" t="s">
        <v>153</v>
      </c>
      <c r="D168" s="220">
        <v>23.81</v>
      </c>
      <c r="E168" s="216">
        <f t="shared" si="7"/>
        <v>0</v>
      </c>
      <c r="F168" s="2" t="s">
        <v>171</v>
      </c>
    </row>
    <row r="169" spans="1:6" ht="24.95" customHeight="1">
      <c r="A169" s="58" t="s">
        <v>191</v>
      </c>
      <c r="B169" s="6">
        <v>20</v>
      </c>
      <c r="C169" s="4" t="s">
        <v>34</v>
      </c>
      <c r="D169" s="220">
        <v>0.34</v>
      </c>
      <c r="E169" s="216">
        <f t="shared" si="7"/>
        <v>6.8000000000000007</v>
      </c>
      <c r="F169" s="2" t="s">
        <v>171</v>
      </c>
    </row>
    <row r="170" spans="1:6" ht="24.95" customHeight="1">
      <c r="A170" s="58" t="s">
        <v>192</v>
      </c>
      <c r="B170" s="6">
        <v>20</v>
      </c>
      <c r="C170" s="4" t="s">
        <v>34</v>
      </c>
      <c r="D170" s="220">
        <v>0.44</v>
      </c>
      <c r="E170" s="216">
        <f t="shared" si="7"/>
        <v>8.8000000000000007</v>
      </c>
      <c r="F170" s="2" t="s">
        <v>171</v>
      </c>
    </row>
    <row r="171" spans="1:6" ht="24.95" customHeight="1">
      <c r="A171" s="58" t="s">
        <v>193</v>
      </c>
      <c r="B171" s="6">
        <v>0</v>
      </c>
      <c r="C171" s="4" t="s">
        <v>153</v>
      </c>
      <c r="D171" s="220">
        <v>43</v>
      </c>
      <c r="E171" s="216">
        <f t="shared" si="7"/>
        <v>0</v>
      </c>
      <c r="F171" s="2" t="s">
        <v>171</v>
      </c>
    </row>
    <row r="172" spans="1:6" ht="24.95" customHeight="1">
      <c r="A172" s="58" t="s">
        <v>194</v>
      </c>
      <c r="B172" s="6">
        <v>20</v>
      </c>
      <c r="C172" s="4" t="s">
        <v>34</v>
      </c>
      <c r="D172" s="220">
        <v>1.19</v>
      </c>
      <c r="E172" s="216">
        <f t="shared" si="7"/>
        <v>23.799999999999997</v>
      </c>
      <c r="F172" s="2" t="s">
        <v>171</v>
      </c>
    </row>
    <row r="173" spans="1:6" ht="24.95" customHeight="1">
      <c r="A173" s="58" t="s">
        <v>195</v>
      </c>
      <c r="B173" s="6">
        <v>30</v>
      </c>
      <c r="C173" s="4" t="s">
        <v>34</v>
      </c>
      <c r="D173" s="220">
        <v>1.7</v>
      </c>
      <c r="E173" s="216">
        <f t="shared" si="7"/>
        <v>51</v>
      </c>
      <c r="F173" s="2" t="s">
        <v>171</v>
      </c>
    </row>
    <row r="174" spans="1:6" ht="24.95" customHeight="1">
      <c r="A174" s="58" t="s">
        <v>196</v>
      </c>
      <c r="B174" s="6">
        <v>1</v>
      </c>
      <c r="C174" s="4" t="s">
        <v>153</v>
      </c>
      <c r="D174" s="220">
        <v>29.48</v>
      </c>
      <c r="E174" s="216">
        <f t="shared" si="7"/>
        <v>29.48</v>
      </c>
      <c r="F174" s="2" t="s">
        <v>171</v>
      </c>
    </row>
    <row r="175" spans="1:6" ht="24.95" customHeight="1">
      <c r="A175" s="58" t="s">
        <v>197</v>
      </c>
      <c r="B175" s="6">
        <v>0</v>
      </c>
      <c r="C175" s="4" t="s">
        <v>153</v>
      </c>
      <c r="D175" s="220">
        <v>31.48</v>
      </c>
      <c r="E175" s="216">
        <f t="shared" si="7"/>
        <v>0</v>
      </c>
      <c r="F175" s="2" t="s">
        <v>171</v>
      </c>
    </row>
    <row r="176" spans="1:6" ht="24.95" customHeight="1">
      <c r="A176" s="58" t="s">
        <v>198</v>
      </c>
      <c r="B176" s="6">
        <v>0</v>
      </c>
      <c r="C176" s="4" t="s">
        <v>63</v>
      </c>
      <c r="D176" s="220">
        <v>2.69</v>
      </c>
      <c r="E176" s="216">
        <f t="shared" si="7"/>
        <v>0</v>
      </c>
      <c r="F176" s="2" t="s">
        <v>171</v>
      </c>
    </row>
    <row r="177" spans="1:6" ht="24.95" customHeight="1">
      <c r="A177" s="58" t="s">
        <v>199</v>
      </c>
      <c r="B177" s="6">
        <v>75</v>
      </c>
      <c r="C177" s="4" t="s">
        <v>34</v>
      </c>
      <c r="D177" s="220">
        <v>0.6</v>
      </c>
      <c r="E177" s="216">
        <f t="shared" si="7"/>
        <v>45</v>
      </c>
      <c r="F177" s="2" t="s">
        <v>171</v>
      </c>
    </row>
    <row r="178" spans="1:6" ht="24.95" customHeight="1">
      <c r="A178" s="58" t="s">
        <v>200</v>
      </c>
      <c r="B178" s="6">
        <v>50</v>
      </c>
      <c r="C178" s="4" t="s">
        <v>34</v>
      </c>
      <c r="D178" s="220">
        <v>0.6</v>
      </c>
      <c r="E178" s="216">
        <f t="shared" si="7"/>
        <v>30</v>
      </c>
      <c r="F178" s="2" t="s">
        <v>171</v>
      </c>
    </row>
    <row r="179" spans="1:6" ht="24.95" customHeight="1">
      <c r="A179" s="58" t="s">
        <v>201</v>
      </c>
      <c r="B179" s="6">
        <v>4</v>
      </c>
      <c r="C179" s="4" t="s">
        <v>153</v>
      </c>
      <c r="D179" s="220">
        <v>27.78</v>
      </c>
      <c r="E179" s="216">
        <f t="shared" si="7"/>
        <v>111.12</v>
      </c>
      <c r="F179" s="2" t="s">
        <v>171</v>
      </c>
    </row>
    <row r="180" spans="1:6" ht="24.95" customHeight="1">
      <c r="A180" s="58" t="s">
        <v>202</v>
      </c>
      <c r="B180" s="6">
        <v>2</v>
      </c>
      <c r="C180" s="4" t="s">
        <v>153</v>
      </c>
      <c r="D180" s="220">
        <v>20.39</v>
      </c>
      <c r="E180" s="216">
        <f t="shared" si="7"/>
        <v>40.78</v>
      </c>
      <c r="F180" s="2" t="s">
        <v>171</v>
      </c>
    </row>
    <row r="181" spans="1:6" ht="34.5" customHeight="1">
      <c r="A181" s="235"/>
      <c r="B181" s="59"/>
      <c r="C181" s="184"/>
      <c r="D181" s="223" t="s">
        <v>20</v>
      </c>
      <c r="E181" s="60">
        <f>SUM(E149:E180)</f>
        <v>1257.3300000000002</v>
      </c>
      <c r="F181" s="236"/>
    </row>
    <row r="182" spans="1:6" ht="24.75" customHeight="1">
      <c r="A182" s="105" t="s">
        <v>203</v>
      </c>
      <c r="B182" s="104" t="s">
        <v>27</v>
      </c>
      <c r="C182" s="104" t="s">
        <v>25</v>
      </c>
      <c r="D182" s="218" t="s">
        <v>28</v>
      </c>
      <c r="E182" s="104" t="s">
        <v>29</v>
      </c>
      <c r="F182" s="104" t="s">
        <v>30</v>
      </c>
    </row>
    <row r="183" spans="1:6" ht="24.95" customHeight="1">
      <c r="A183" s="58" t="s">
        <v>204</v>
      </c>
      <c r="B183" s="6">
        <v>1</v>
      </c>
      <c r="C183" s="4" t="s">
        <v>34</v>
      </c>
      <c r="D183" s="220">
        <v>5.8</v>
      </c>
      <c r="E183" s="216">
        <f t="shared" ref="E183:E216" si="8">B183*D183</f>
        <v>5.8</v>
      </c>
      <c r="F183" s="2" t="s">
        <v>35</v>
      </c>
    </row>
    <row r="184" spans="1:6" ht="24.95" customHeight="1">
      <c r="A184" s="58" t="s">
        <v>205</v>
      </c>
      <c r="B184" s="6">
        <v>72</v>
      </c>
      <c r="C184" s="4" t="s">
        <v>34</v>
      </c>
      <c r="D184" s="220">
        <v>2.88</v>
      </c>
      <c r="E184" s="216">
        <f t="shared" si="8"/>
        <v>207.35999999999999</v>
      </c>
      <c r="F184" s="2" t="s">
        <v>35</v>
      </c>
    </row>
    <row r="185" spans="1:6" ht="24.95" customHeight="1">
      <c r="A185" s="58" t="s">
        <v>206</v>
      </c>
      <c r="B185" s="6">
        <v>30</v>
      </c>
      <c r="C185" s="4" t="s">
        <v>34</v>
      </c>
      <c r="D185" s="220">
        <v>4.9000000000000004</v>
      </c>
      <c r="E185" s="216">
        <f t="shared" si="8"/>
        <v>147</v>
      </c>
      <c r="F185" s="2" t="s">
        <v>35</v>
      </c>
    </row>
    <row r="186" spans="1:6" ht="24.95" customHeight="1">
      <c r="A186" s="58" t="s">
        <v>207</v>
      </c>
      <c r="B186" s="6">
        <v>1</v>
      </c>
      <c r="C186" s="4" t="s">
        <v>34</v>
      </c>
      <c r="D186" s="220">
        <v>3.2</v>
      </c>
      <c r="E186" s="216">
        <f t="shared" si="8"/>
        <v>3.2</v>
      </c>
      <c r="F186" s="2" t="s">
        <v>35</v>
      </c>
    </row>
    <row r="187" spans="1:6" ht="24.95" customHeight="1">
      <c r="A187" s="58" t="s">
        <v>208</v>
      </c>
      <c r="B187" s="6">
        <v>42</v>
      </c>
      <c r="C187" s="4" t="s">
        <v>34</v>
      </c>
      <c r="D187" s="220">
        <v>2.94</v>
      </c>
      <c r="E187" s="216">
        <f t="shared" si="8"/>
        <v>123.48</v>
      </c>
      <c r="F187" s="2" t="s">
        <v>35</v>
      </c>
    </row>
    <row r="188" spans="1:6" ht="24.95" customHeight="1">
      <c r="A188" s="58" t="s">
        <v>209</v>
      </c>
      <c r="B188" s="6">
        <v>30</v>
      </c>
      <c r="C188" s="4" t="s">
        <v>34</v>
      </c>
      <c r="D188" s="220">
        <v>8.09</v>
      </c>
      <c r="E188" s="216">
        <f t="shared" si="8"/>
        <v>242.7</v>
      </c>
      <c r="F188" s="2" t="s">
        <v>35</v>
      </c>
    </row>
    <row r="189" spans="1:6" ht="24.95" customHeight="1">
      <c r="A189" s="58" t="s">
        <v>210</v>
      </c>
      <c r="B189" s="6">
        <v>39</v>
      </c>
      <c r="C189" s="4" t="s">
        <v>34</v>
      </c>
      <c r="D189" s="220">
        <v>4.09</v>
      </c>
      <c r="E189" s="216">
        <f t="shared" si="8"/>
        <v>159.51</v>
      </c>
      <c r="F189" s="2" t="s">
        <v>35</v>
      </c>
    </row>
    <row r="190" spans="1:6" ht="24.95" customHeight="1">
      <c r="A190" s="58" t="s">
        <v>211</v>
      </c>
      <c r="B190" s="6">
        <v>30</v>
      </c>
      <c r="C190" s="4" t="s">
        <v>34</v>
      </c>
      <c r="D190" s="220">
        <v>4.97</v>
      </c>
      <c r="E190" s="216">
        <f t="shared" si="8"/>
        <v>149.1</v>
      </c>
      <c r="F190" s="2" t="s">
        <v>35</v>
      </c>
    </row>
    <row r="191" spans="1:6" ht="24.95" customHeight="1">
      <c r="A191" s="58" t="s">
        <v>212</v>
      </c>
      <c r="B191" s="6">
        <v>55</v>
      </c>
      <c r="C191" s="4" t="s">
        <v>34</v>
      </c>
      <c r="D191" s="220">
        <v>3.83</v>
      </c>
      <c r="E191" s="216">
        <f t="shared" si="8"/>
        <v>210.65</v>
      </c>
      <c r="F191" s="2" t="s">
        <v>35</v>
      </c>
    </row>
    <row r="192" spans="1:6" ht="24.95" customHeight="1">
      <c r="A192" s="58" t="s">
        <v>213</v>
      </c>
      <c r="B192" s="6">
        <v>0</v>
      </c>
      <c r="C192" s="4" t="s">
        <v>34</v>
      </c>
      <c r="D192" s="220"/>
      <c r="E192" s="216">
        <f t="shared" si="8"/>
        <v>0</v>
      </c>
      <c r="F192" s="2" t="s">
        <v>35</v>
      </c>
    </row>
    <row r="193" spans="1:6" ht="24.95" customHeight="1">
      <c r="A193" s="58" t="s">
        <v>214</v>
      </c>
      <c r="B193" s="6">
        <v>8.5</v>
      </c>
      <c r="C193" s="175" t="s">
        <v>215</v>
      </c>
      <c r="D193" s="220">
        <v>23.65</v>
      </c>
      <c r="E193" s="216">
        <f t="shared" si="8"/>
        <v>201.02499999999998</v>
      </c>
      <c r="F193" s="2" t="s">
        <v>35</v>
      </c>
    </row>
    <row r="194" spans="1:6" ht="24.95" customHeight="1">
      <c r="A194" s="58" t="s">
        <v>216</v>
      </c>
      <c r="B194" s="6">
        <v>6.5</v>
      </c>
      <c r="C194" s="175" t="s">
        <v>217</v>
      </c>
      <c r="D194" s="220">
        <v>33.06</v>
      </c>
      <c r="E194" s="216">
        <f t="shared" si="8"/>
        <v>214.89000000000001</v>
      </c>
      <c r="F194" s="2" t="s">
        <v>35</v>
      </c>
    </row>
    <row r="195" spans="1:6" ht="24.95" customHeight="1">
      <c r="A195" s="58" t="s">
        <v>218</v>
      </c>
      <c r="B195" s="6">
        <v>8.5</v>
      </c>
      <c r="C195" s="175" t="s">
        <v>217</v>
      </c>
      <c r="D195" s="220">
        <v>37.89</v>
      </c>
      <c r="E195" s="216">
        <f t="shared" si="8"/>
        <v>322.065</v>
      </c>
      <c r="F195" s="2" t="s">
        <v>35</v>
      </c>
    </row>
    <row r="196" spans="1:6" ht="24.95" customHeight="1">
      <c r="A196" s="58" t="s">
        <v>219</v>
      </c>
      <c r="B196" s="6">
        <v>2</v>
      </c>
      <c r="C196" s="175" t="s">
        <v>215</v>
      </c>
      <c r="D196" s="220">
        <v>19</v>
      </c>
      <c r="E196" s="216">
        <f t="shared" si="8"/>
        <v>38</v>
      </c>
      <c r="F196" s="2" t="s">
        <v>35</v>
      </c>
    </row>
    <row r="197" spans="1:6" ht="24.95" customHeight="1">
      <c r="A197" s="61" t="s">
        <v>220</v>
      </c>
      <c r="B197" s="6">
        <v>14</v>
      </c>
      <c r="C197" s="4" t="s">
        <v>63</v>
      </c>
      <c r="D197" s="226">
        <v>1.5</v>
      </c>
      <c r="E197" s="216">
        <f t="shared" si="8"/>
        <v>21</v>
      </c>
      <c r="F197" s="62" t="s">
        <v>75</v>
      </c>
    </row>
    <row r="198" spans="1:6" ht="24.95" customHeight="1">
      <c r="A198" s="61" t="s">
        <v>221</v>
      </c>
      <c r="B198" s="6">
        <v>28</v>
      </c>
      <c r="C198" s="4" t="s">
        <v>63</v>
      </c>
      <c r="D198" s="226">
        <v>1.5</v>
      </c>
      <c r="E198" s="216">
        <f t="shared" si="8"/>
        <v>42</v>
      </c>
      <c r="F198" s="62" t="s">
        <v>75</v>
      </c>
    </row>
    <row r="199" spans="1:6" ht="24.95" customHeight="1">
      <c r="A199" s="58" t="s">
        <v>222</v>
      </c>
      <c r="B199" s="6">
        <v>6</v>
      </c>
      <c r="C199" s="175" t="s">
        <v>215</v>
      </c>
      <c r="D199" s="220">
        <v>23.15</v>
      </c>
      <c r="E199" s="216">
        <f t="shared" si="8"/>
        <v>138.89999999999998</v>
      </c>
      <c r="F199" s="2" t="s">
        <v>35</v>
      </c>
    </row>
    <row r="200" spans="1:6" ht="24.95" customHeight="1">
      <c r="A200" s="61" t="s">
        <v>223</v>
      </c>
      <c r="B200" s="6">
        <v>0</v>
      </c>
      <c r="C200" s="4" t="s">
        <v>34</v>
      </c>
      <c r="D200" s="226">
        <v>4.5</v>
      </c>
      <c r="E200" s="216">
        <f t="shared" si="8"/>
        <v>0</v>
      </c>
      <c r="F200" s="65" t="s">
        <v>75</v>
      </c>
    </row>
    <row r="201" spans="1:6" ht="24.95" customHeight="1">
      <c r="A201" s="58" t="s">
        <v>224</v>
      </c>
      <c r="B201" s="6">
        <v>2</v>
      </c>
      <c r="C201" s="175" t="s">
        <v>215</v>
      </c>
      <c r="D201" s="220">
        <v>20.05</v>
      </c>
      <c r="E201" s="216">
        <f t="shared" si="8"/>
        <v>40.1</v>
      </c>
      <c r="F201" s="2" t="s">
        <v>35</v>
      </c>
    </row>
    <row r="202" spans="1:6" ht="24.95" customHeight="1">
      <c r="A202" s="58" t="s">
        <v>225</v>
      </c>
      <c r="B202" s="6">
        <v>10.5</v>
      </c>
      <c r="C202" s="175" t="s">
        <v>217</v>
      </c>
      <c r="D202" s="220">
        <v>34.64</v>
      </c>
      <c r="E202" s="216">
        <f t="shared" si="8"/>
        <v>363.72</v>
      </c>
      <c r="F202" s="2" t="s">
        <v>35</v>
      </c>
    </row>
    <row r="203" spans="1:6" ht="24.95" customHeight="1">
      <c r="A203" s="58" t="s">
        <v>226</v>
      </c>
      <c r="B203" s="6">
        <v>15</v>
      </c>
      <c r="C203" s="4" t="s">
        <v>63</v>
      </c>
      <c r="D203" s="220">
        <v>6.83</v>
      </c>
      <c r="E203" s="216">
        <f t="shared" si="8"/>
        <v>102.45</v>
      </c>
      <c r="F203" s="2" t="s">
        <v>35</v>
      </c>
    </row>
    <row r="204" spans="1:6" ht="24.95" customHeight="1">
      <c r="A204" s="58" t="s">
        <v>227</v>
      </c>
      <c r="B204" s="6">
        <v>15</v>
      </c>
      <c r="C204" s="4" t="s">
        <v>63</v>
      </c>
      <c r="D204" s="220">
        <v>2.69</v>
      </c>
      <c r="E204" s="216">
        <f t="shared" si="8"/>
        <v>40.35</v>
      </c>
      <c r="F204" s="2" t="s">
        <v>35</v>
      </c>
    </row>
    <row r="205" spans="1:6" ht="24.95" customHeight="1">
      <c r="A205" s="58" t="s">
        <v>228</v>
      </c>
      <c r="B205" s="6">
        <v>15</v>
      </c>
      <c r="C205" s="4" t="s">
        <v>34</v>
      </c>
      <c r="D205" s="220">
        <v>1</v>
      </c>
      <c r="E205" s="216">
        <f t="shared" si="8"/>
        <v>15</v>
      </c>
      <c r="F205" s="2" t="s">
        <v>35</v>
      </c>
    </row>
    <row r="206" spans="1:6" ht="24.95" customHeight="1">
      <c r="A206" s="58" t="s">
        <v>229</v>
      </c>
      <c r="B206" s="6">
        <v>0</v>
      </c>
      <c r="C206" s="4" t="s">
        <v>34</v>
      </c>
      <c r="D206" s="220">
        <v>3.02</v>
      </c>
      <c r="E206" s="216">
        <f t="shared" si="8"/>
        <v>0</v>
      </c>
      <c r="F206" s="2" t="s">
        <v>35</v>
      </c>
    </row>
    <row r="207" spans="1:6" ht="24.95" customHeight="1">
      <c r="A207" s="61" t="s">
        <v>230</v>
      </c>
      <c r="B207" s="6">
        <v>0</v>
      </c>
      <c r="C207" s="4" t="s">
        <v>34</v>
      </c>
      <c r="D207" s="226">
        <v>3.5</v>
      </c>
      <c r="E207" s="216">
        <f t="shared" si="8"/>
        <v>0</v>
      </c>
      <c r="F207" s="239" t="s">
        <v>50</v>
      </c>
    </row>
    <row r="208" spans="1:6" ht="24.95" customHeight="1">
      <c r="A208" s="58" t="s">
        <v>231</v>
      </c>
      <c r="B208" s="6">
        <v>48</v>
      </c>
      <c r="C208" s="4" t="s">
        <v>63</v>
      </c>
      <c r="D208" s="220">
        <v>2.88</v>
      </c>
      <c r="E208" s="216">
        <f t="shared" si="8"/>
        <v>138.24</v>
      </c>
      <c r="F208" s="2" t="s">
        <v>35</v>
      </c>
    </row>
    <row r="209" spans="1:6" ht="24.95" customHeight="1">
      <c r="A209" s="58" t="s">
        <v>232</v>
      </c>
      <c r="B209" s="6">
        <v>12</v>
      </c>
      <c r="C209" s="4" t="s">
        <v>63</v>
      </c>
      <c r="D209" s="220">
        <v>4.9800000000000004</v>
      </c>
      <c r="E209" s="216">
        <f t="shared" si="8"/>
        <v>59.760000000000005</v>
      </c>
      <c r="F209" s="2" t="s">
        <v>35</v>
      </c>
    </row>
    <row r="210" spans="1:6" ht="24.95" customHeight="1">
      <c r="A210" s="58" t="s">
        <v>233</v>
      </c>
      <c r="B210" s="6">
        <v>2</v>
      </c>
      <c r="C210" s="4" t="s">
        <v>63</v>
      </c>
      <c r="D210" s="220">
        <v>28.54</v>
      </c>
      <c r="E210" s="216">
        <f t="shared" si="8"/>
        <v>57.08</v>
      </c>
      <c r="F210" s="2" t="s">
        <v>35</v>
      </c>
    </row>
    <row r="211" spans="1:6" ht="24.95" customHeight="1">
      <c r="A211" s="58" t="s">
        <v>234</v>
      </c>
      <c r="B211" s="6">
        <v>11</v>
      </c>
      <c r="C211" s="4" t="s">
        <v>63</v>
      </c>
      <c r="D211" s="220">
        <v>2.37</v>
      </c>
      <c r="E211" s="216">
        <f t="shared" si="8"/>
        <v>26.07</v>
      </c>
      <c r="F211" s="2" t="s">
        <v>35</v>
      </c>
    </row>
    <row r="212" spans="1:6" ht="24.95" customHeight="1">
      <c r="A212" s="58" t="s">
        <v>235</v>
      </c>
      <c r="B212" s="6">
        <v>30</v>
      </c>
      <c r="C212" s="4" t="s">
        <v>86</v>
      </c>
      <c r="D212" s="220">
        <v>5.0199999999999996</v>
      </c>
      <c r="E212" s="216">
        <f t="shared" si="8"/>
        <v>150.6</v>
      </c>
      <c r="F212" s="2" t="s">
        <v>35</v>
      </c>
    </row>
    <row r="213" spans="1:6" ht="24.95" customHeight="1">
      <c r="A213" s="58" t="s">
        <v>236</v>
      </c>
      <c r="B213" s="6">
        <v>0</v>
      </c>
      <c r="C213" s="4" t="s">
        <v>86</v>
      </c>
      <c r="D213" s="220">
        <v>4.05</v>
      </c>
      <c r="E213" s="216">
        <f t="shared" si="8"/>
        <v>0</v>
      </c>
      <c r="F213" s="2" t="s">
        <v>35</v>
      </c>
    </row>
    <row r="214" spans="1:6" ht="24.95" customHeight="1">
      <c r="A214" s="58" t="s">
        <v>237</v>
      </c>
      <c r="B214" s="6">
        <v>18</v>
      </c>
      <c r="C214" s="4" t="s">
        <v>63</v>
      </c>
      <c r="D214" s="220">
        <v>25.51</v>
      </c>
      <c r="E214" s="216">
        <f t="shared" si="8"/>
        <v>459.18</v>
      </c>
      <c r="F214" s="2" t="s">
        <v>35</v>
      </c>
    </row>
    <row r="215" spans="1:6" ht="24.95" customHeight="1">
      <c r="A215" s="58" t="s">
        <v>238</v>
      </c>
      <c r="B215" s="6">
        <v>11</v>
      </c>
      <c r="C215" s="4" t="s">
        <v>34</v>
      </c>
      <c r="D215" s="220">
        <v>1.91</v>
      </c>
      <c r="E215" s="216">
        <f t="shared" si="8"/>
        <v>21.009999999999998</v>
      </c>
      <c r="F215" s="2" t="s">
        <v>35</v>
      </c>
    </row>
    <row r="216" spans="1:6" ht="24.95" customHeight="1">
      <c r="A216" s="58" t="s">
        <v>239</v>
      </c>
      <c r="B216" s="6">
        <v>0</v>
      </c>
      <c r="C216" s="4" t="s">
        <v>63</v>
      </c>
      <c r="D216" s="220">
        <v>2.61</v>
      </c>
      <c r="E216" s="216">
        <f t="shared" si="8"/>
        <v>0</v>
      </c>
      <c r="F216" s="2" t="s">
        <v>35</v>
      </c>
    </row>
    <row r="217" spans="1:6" ht="34.5" customHeight="1">
      <c r="A217" s="235"/>
      <c r="B217" s="59"/>
      <c r="C217" s="240"/>
      <c r="D217" s="223" t="s">
        <v>20</v>
      </c>
      <c r="E217" s="60">
        <f>SUM(E183:E216)</f>
        <v>3700.2400000000002</v>
      </c>
      <c r="F217" s="241"/>
    </row>
    <row r="218" spans="1:6" ht="30" customHeight="1">
      <c r="A218" s="242" t="s">
        <v>429</v>
      </c>
      <c r="B218" s="105"/>
      <c r="C218" s="105"/>
      <c r="D218" s="105"/>
      <c r="E218" s="105"/>
      <c r="F218" s="105"/>
    </row>
    <row r="219" spans="1:6" ht="24.75" customHeight="1">
      <c r="A219" s="105" t="s">
        <v>430</v>
      </c>
      <c r="B219" s="104" t="s">
        <v>27</v>
      </c>
      <c r="C219" s="104" t="s">
        <v>25</v>
      </c>
      <c r="D219" s="218" t="s">
        <v>28</v>
      </c>
      <c r="E219" s="104" t="s">
        <v>29</v>
      </c>
      <c r="F219" s="104" t="s">
        <v>30</v>
      </c>
    </row>
    <row r="220" spans="1:6" ht="24.95" customHeight="1">
      <c r="A220" s="58" t="s">
        <v>431</v>
      </c>
      <c r="B220" s="6">
        <v>3</v>
      </c>
      <c r="C220" s="4" t="s">
        <v>86</v>
      </c>
      <c r="D220" s="226">
        <v>15</v>
      </c>
      <c r="E220" s="216">
        <f t="shared" ref="E220:E234" si="9">B220*D220</f>
        <v>45</v>
      </c>
      <c r="F220" s="65" t="s">
        <v>75</v>
      </c>
    </row>
    <row r="221" spans="1:6" ht="24.95" customHeight="1">
      <c r="A221" s="1" t="s">
        <v>240</v>
      </c>
      <c r="B221" s="6"/>
      <c r="C221" s="4" t="s">
        <v>63</v>
      </c>
      <c r="D221" s="220">
        <v>12.6</v>
      </c>
      <c r="E221" s="216">
        <f t="shared" si="9"/>
        <v>0</v>
      </c>
      <c r="F221" s="2" t="s">
        <v>35</v>
      </c>
    </row>
    <row r="222" spans="1:6" ht="24.95" customHeight="1">
      <c r="A222" s="1" t="s">
        <v>241</v>
      </c>
      <c r="B222" s="6"/>
      <c r="C222" s="4" t="s">
        <v>63</v>
      </c>
      <c r="D222" s="220"/>
      <c r="E222" s="216">
        <f t="shared" si="9"/>
        <v>0</v>
      </c>
      <c r="F222" s="2" t="s">
        <v>35</v>
      </c>
    </row>
    <row r="223" spans="1:6" ht="24.95" customHeight="1">
      <c r="A223" s="1" t="s">
        <v>404</v>
      </c>
      <c r="B223" s="6"/>
      <c r="C223" s="4" t="s">
        <v>507</v>
      </c>
      <c r="D223" s="220"/>
      <c r="E223" s="216">
        <f t="shared" si="9"/>
        <v>0</v>
      </c>
      <c r="F223" s="2" t="s">
        <v>75</v>
      </c>
    </row>
    <row r="224" spans="1:6" ht="24.95" customHeight="1">
      <c r="A224" s="1" t="s">
        <v>499</v>
      </c>
      <c r="B224" s="6"/>
      <c r="C224" s="4" t="s">
        <v>34</v>
      </c>
      <c r="D224" s="220"/>
      <c r="E224" s="216">
        <f t="shared" si="9"/>
        <v>0</v>
      </c>
      <c r="F224" s="2"/>
    </row>
    <row r="225" spans="1:6" ht="24.95" customHeight="1">
      <c r="A225" s="1" t="s">
        <v>408</v>
      </c>
      <c r="B225" s="6">
        <v>5</v>
      </c>
      <c r="C225" s="4" t="s">
        <v>508</v>
      </c>
      <c r="D225" s="220">
        <v>1.9</v>
      </c>
      <c r="E225" s="216">
        <f t="shared" si="9"/>
        <v>9.5</v>
      </c>
      <c r="F225" s="2"/>
    </row>
    <row r="226" spans="1:6" ht="24.95" customHeight="1">
      <c r="A226" s="1" t="s">
        <v>500</v>
      </c>
      <c r="B226" s="6"/>
      <c r="C226" s="4" t="s">
        <v>34</v>
      </c>
      <c r="D226" s="220"/>
      <c r="E226" s="216">
        <f t="shared" si="9"/>
        <v>0</v>
      </c>
      <c r="F226" s="2"/>
    </row>
    <row r="227" spans="1:6" ht="24.95" customHeight="1">
      <c r="A227" s="1" t="s">
        <v>501</v>
      </c>
      <c r="B227" s="6"/>
      <c r="C227" s="4" t="s">
        <v>285</v>
      </c>
      <c r="D227" s="220"/>
      <c r="E227" s="216">
        <f t="shared" si="9"/>
        <v>0</v>
      </c>
      <c r="F227" s="2"/>
    </row>
    <row r="228" spans="1:6" ht="24.95" customHeight="1">
      <c r="A228" s="1" t="s">
        <v>502</v>
      </c>
      <c r="B228" s="6"/>
      <c r="C228" s="4" t="s">
        <v>153</v>
      </c>
      <c r="D228" s="220"/>
      <c r="E228" s="216">
        <f t="shared" si="9"/>
        <v>0</v>
      </c>
      <c r="F228" s="2"/>
    </row>
    <row r="229" spans="1:6" ht="24.95" customHeight="1">
      <c r="A229" s="1" t="s">
        <v>503</v>
      </c>
      <c r="B229" s="6"/>
      <c r="C229" s="4" t="s">
        <v>63</v>
      </c>
      <c r="D229" s="220"/>
      <c r="E229" s="216">
        <f t="shared" si="9"/>
        <v>0</v>
      </c>
      <c r="F229" s="2"/>
    </row>
    <row r="230" spans="1:6" ht="24.95" customHeight="1">
      <c r="A230" s="1" t="s">
        <v>504</v>
      </c>
      <c r="B230" s="6"/>
      <c r="C230" s="4" t="s">
        <v>63</v>
      </c>
      <c r="D230" s="220"/>
      <c r="E230" s="216">
        <f t="shared" si="9"/>
        <v>0</v>
      </c>
      <c r="F230" s="2"/>
    </row>
    <row r="231" spans="1:6" ht="24.95" customHeight="1">
      <c r="A231" s="1" t="s">
        <v>505</v>
      </c>
      <c r="B231" s="6"/>
      <c r="C231" s="4" t="s">
        <v>34</v>
      </c>
      <c r="D231" s="220"/>
      <c r="E231" s="216">
        <f t="shared" si="9"/>
        <v>0</v>
      </c>
      <c r="F231" s="2"/>
    </row>
    <row r="232" spans="1:6" ht="24.95" customHeight="1">
      <c r="A232" s="1" t="s">
        <v>506</v>
      </c>
      <c r="B232" s="6"/>
      <c r="C232" s="4" t="s">
        <v>63</v>
      </c>
      <c r="D232" s="220"/>
      <c r="E232" s="216">
        <f t="shared" si="9"/>
        <v>0</v>
      </c>
      <c r="F232" s="2"/>
    </row>
    <row r="233" spans="1:6" ht="24.95" customHeight="1">
      <c r="A233" s="1"/>
      <c r="B233" s="6"/>
      <c r="C233" s="4"/>
      <c r="D233" s="220"/>
      <c r="E233" s="216">
        <f t="shared" si="9"/>
        <v>0</v>
      </c>
      <c r="F233" s="2"/>
    </row>
    <row r="234" spans="1:6" ht="24.95" customHeight="1">
      <c r="A234" s="1"/>
      <c r="B234" s="6"/>
      <c r="C234" s="4"/>
      <c r="D234" s="220"/>
      <c r="E234" s="216">
        <f t="shared" si="9"/>
        <v>0</v>
      </c>
      <c r="F234" s="2"/>
    </row>
    <row r="235" spans="1:6" ht="30" customHeight="1">
      <c r="A235" s="243"/>
      <c r="B235" s="244"/>
      <c r="C235" s="240"/>
      <c r="D235" s="223" t="s">
        <v>20</v>
      </c>
      <c r="E235" s="60">
        <f>SUM(E220:E234)</f>
        <v>54.5</v>
      </c>
      <c r="F235" s="245"/>
    </row>
    <row r="236" spans="1:6" ht="23.1" customHeight="1"/>
    <row r="237" spans="1:6" ht="30" customHeight="1">
      <c r="A237" s="243"/>
      <c r="B237" s="244"/>
      <c r="C237" s="560" t="s">
        <v>432</v>
      </c>
      <c r="D237" s="561"/>
      <c r="E237" s="564">
        <f>E15+E20+E25+E35+E42+E147+E181+E217+E235</f>
        <v>43897.123999999996</v>
      </c>
      <c r="F237" s="245"/>
    </row>
    <row r="238" spans="1:6" ht="30" customHeight="1">
      <c r="B238" s="246"/>
      <c r="C238" s="562"/>
      <c r="D238" s="563"/>
      <c r="E238" s="565"/>
      <c r="F238" s="245"/>
    </row>
    <row r="239" spans="1:6" ht="23.1" customHeight="1"/>
    <row r="240" spans="1:6" ht="23.1" customHeight="1"/>
    <row r="241" spans="1:9" ht="13.5" thickBot="1">
      <c r="F241"/>
    </row>
    <row r="242" spans="1:9" ht="12.75">
      <c r="A242" s="247" t="s">
        <v>433</v>
      </c>
      <c r="B242" s="248"/>
      <c r="C242" s="249" t="s">
        <v>434</v>
      </c>
      <c r="F242"/>
    </row>
    <row r="243" spans="1:9" ht="18.75" thickBot="1">
      <c r="A243" s="250" t="s">
        <v>435</v>
      </c>
      <c r="B243" s="251" t="str">
        <f>"="</f>
        <v>=</v>
      </c>
      <c r="C243" s="252" t="s">
        <v>436</v>
      </c>
      <c r="F243"/>
    </row>
    <row r="244" spans="1:9" ht="12.75">
      <c r="A244" s="56"/>
      <c r="B244" s="56"/>
      <c r="C244" s="56"/>
      <c r="F244"/>
    </row>
    <row r="245" spans="1:9" ht="13.5" thickBot="1">
      <c r="A245" s="253" t="s">
        <v>437</v>
      </c>
      <c r="B245" s="56"/>
      <c r="C245" s="56"/>
      <c r="F245"/>
    </row>
    <row r="246" spans="1:9" ht="12.75">
      <c r="A246" s="539" t="s">
        <v>438</v>
      </c>
      <c r="B246" s="540"/>
      <c r="C246" s="540"/>
      <c r="D246" s="540"/>
      <c r="E246" s="540"/>
      <c r="F246" s="540"/>
      <c r="G246" s="540"/>
      <c r="H246" s="540"/>
      <c r="I246" s="541"/>
    </row>
    <row r="247" spans="1:9" ht="13.5" thickBot="1">
      <c r="A247" s="542"/>
      <c r="B247" s="543"/>
      <c r="C247" s="543"/>
      <c r="D247" s="543"/>
      <c r="E247" s="543"/>
      <c r="F247" s="543"/>
      <c r="G247" s="543"/>
      <c r="H247" s="543"/>
      <c r="I247" s="544"/>
    </row>
    <row r="248" spans="1:9" ht="12.75">
      <c r="A248" s="56"/>
      <c r="B248" s="56"/>
      <c r="C248" s="56"/>
      <c r="F248"/>
    </row>
    <row r="249" spans="1:9" ht="13.5" thickBot="1">
      <c r="A249" s="253" t="s">
        <v>439</v>
      </c>
      <c r="B249" s="56"/>
      <c r="C249" s="56"/>
      <c r="F249"/>
    </row>
    <row r="250" spans="1:9" ht="12.75">
      <c r="A250" s="539" t="s">
        <v>440</v>
      </c>
      <c r="B250" s="540"/>
      <c r="C250" s="540"/>
      <c r="D250" s="540"/>
      <c r="E250" s="540"/>
      <c r="F250" s="540"/>
      <c r="G250" s="540"/>
      <c r="H250" s="540"/>
      <c r="I250" s="541"/>
    </row>
    <row r="251" spans="1:9" ht="13.5" thickBot="1">
      <c r="A251" s="542"/>
      <c r="B251" s="543"/>
      <c r="C251" s="543"/>
      <c r="D251" s="543"/>
      <c r="E251" s="543"/>
      <c r="F251" s="543"/>
      <c r="G251" s="543"/>
      <c r="H251" s="543"/>
      <c r="I251" s="544"/>
    </row>
    <row r="252" spans="1:9" ht="12.75">
      <c r="F252"/>
    </row>
    <row r="253" spans="1:9" ht="13.5" thickBot="1">
      <c r="A253" s="253" t="s">
        <v>441</v>
      </c>
      <c r="B253" s="56"/>
      <c r="C253" s="56"/>
      <c r="F253"/>
    </row>
    <row r="254" spans="1:9" ht="12.75">
      <c r="A254" s="545" t="s">
        <v>442</v>
      </c>
      <c r="B254" s="546"/>
      <c r="C254" s="546"/>
      <c r="D254" s="546"/>
      <c r="E254" s="546"/>
      <c r="F254" s="546"/>
      <c r="G254" s="546"/>
      <c r="H254" s="546"/>
      <c r="I254" s="547"/>
    </row>
    <row r="255" spans="1:9" ht="13.5" thickBot="1">
      <c r="A255" s="548"/>
      <c r="B255" s="549"/>
      <c r="C255" s="549"/>
      <c r="D255" s="549"/>
      <c r="E255" s="549"/>
      <c r="F255" s="549"/>
      <c r="G255" s="549"/>
      <c r="H255" s="549"/>
      <c r="I255" s="550"/>
    </row>
    <row r="256" spans="1:9" ht="12.75">
      <c r="F256"/>
    </row>
    <row r="257" spans="1:9" ht="13.5" thickBot="1">
      <c r="A257" s="254" t="s">
        <v>443</v>
      </c>
      <c r="F257"/>
    </row>
    <row r="258" spans="1:9" ht="126.75" customHeight="1" thickBot="1">
      <c r="A258" s="551" t="s">
        <v>444</v>
      </c>
      <c r="B258" s="552"/>
      <c r="C258" s="552"/>
      <c r="D258" s="552"/>
      <c r="E258" s="552"/>
      <c r="F258" s="552"/>
      <c r="G258" s="552"/>
      <c r="H258" s="552"/>
      <c r="I258" s="553"/>
    </row>
    <row r="259" spans="1:9" ht="13.5" thickBot="1">
      <c r="E259" s="263"/>
      <c r="F259"/>
    </row>
    <row r="260" spans="1:9" ht="13.5" thickBot="1">
      <c r="A260" s="255" t="s">
        <v>445</v>
      </c>
      <c r="B260" s="256"/>
      <c r="C260" s="256"/>
      <c r="D260" s="257"/>
      <c r="E260" s="264"/>
      <c r="F260"/>
    </row>
    <row r="261" spans="1:9" ht="12.75">
      <c r="F261"/>
    </row>
  </sheetData>
  <sheetProtection algorithmName="SHA-512" hashValue="ODnC2k0JJcooGZiGcksR4IpROqazJVvvBwI2CAQbIbKmV2QPLBzW09nqj5Ij/W00/AtjNkTb3ZTl/iQxmleHHQ==" saltValue="GlUgjOSex3MSEyWhNpw5xQ==" spinCount="100000" sheet="1" objects="1" scenarios="1"/>
  <protectedRanges>
    <protectedRange sqref="D233:D234 C224:C234" name="Range1_1_1_2_1_1_1_2"/>
    <protectedRange sqref="D221:D232" name="Range1_1_1_2_1_1_1"/>
  </protectedRanges>
  <mergeCells count="9">
    <mergeCell ref="A246:I247"/>
    <mergeCell ref="A250:I251"/>
    <mergeCell ref="A254:I255"/>
    <mergeCell ref="A258:I258"/>
    <mergeCell ref="B1:D1"/>
    <mergeCell ref="E1:F1"/>
    <mergeCell ref="A3:F3"/>
    <mergeCell ref="C237:D238"/>
    <mergeCell ref="E237:E238"/>
  </mergeCells>
  <phoneticPr fontId="0" type="noConversion"/>
  <conditionalFormatting sqref="E5:E14 E17:E19 E22:E24 E27:E34 E37:E41">
    <cfRule type="expression" dxfId="24" priority="1">
      <formula>E5&gt;=4000</formula>
    </cfRule>
    <cfRule type="expression" dxfId="23" priority="2">
      <formula>AND(E5&gt;=2000, E5&lt;4000)</formula>
    </cfRule>
  </conditionalFormatting>
  <conditionalFormatting sqref="E45:E146 E149:E180 E183:E216 E220:E234">
    <cfRule type="expression" dxfId="22" priority="3">
      <formula>AND(E45&gt;=200, E45&lt;1000)</formula>
    </cfRule>
    <cfRule type="expression" dxfId="21" priority="4">
      <formula>E45&gt;=1000</formula>
    </cfRule>
  </conditionalFormatting>
  <printOptions horizontalCentered="1"/>
  <pageMargins left="0.25" right="0.25" top="0.5" bottom="0.25" header="0" footer="0"/>
  <pageSetup scale="85" fitToHeight="0" orientation="portrait" r:id="rId1"/>
  <headerFooter alignWithMargins="0"/>
  <ignoredErrors>
    <ignoredError sqref="B1 E1" unlockedFormula="1"/>
  </ignoredErrors>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S109"/>
  <sheetViews>
    <sheetView showGridLines="0" tabSelected="1" zoomScaleNormal="100" workbookViewId="0">
      <selection activeCell="H26" sqref="H26"/>
    </sheetView>
  </sheetViews>
  <sheetFormatPr defaultColWidth="8.85546875" defaultRowHeight="12.75"/>
  <cols>
    <col min="1" max="1" width="2.7109375" style="11" customWidth="1"/>
    <col min="2" max="2" width="20.85546875" style="11" customWidth="1"/>
    <col min="3" max="9" width="12.7109375" style="11" customWidth="1"/>
    <col min="10" max="10" width="21.140625" style="11" customWidth="1"/>
    <col min="11" max="11" width="20.7109375" style="11" customWidth="1"/>
    <col min="12" max="16384" width="8.85546875" style="11"/>
  </cols>
  <sheetData>
    <row r="1" spans="2:17" ht="13.5" thickBot="1">
      <c r="B1" s="185"/>
      <c r="C1" s="185"/>
      <c r="D1" s="185"/>
      <c r="E1" s="185"/>
      <c r="F1" s="185"/>
      <c r="G1" s="185"/>
      <c r="H1" s="185"/>
      <c r="I1" s="185"/>
      <c r="J1" s="185"/>
      <c r="K1" s="185"/>
      <c r="L1" s="185"/>
      <c r="M1" s="185"/>
      <c r="N1" s="185"/>
      <c r="O1" s="185"/>
      <c r="P1" s="185"/>
      <c r="Q1" s="185"/>
    </row>
    <row r="2" spans="2:17" ht="12.75" customHeight="1">
      <c r="B2" s="185"/>
      <c r="C2" s="572" t="s">
        <v>242</v>
      </c>
      <c r="D2" s="573"/>
      <c r="E2" s="573"/>
      <c r="F2" s="573"/>
      <c r="G2" s="568"/>
      <c r="H2" s="569"/>
      <c r="I2" s="17"/>
      <c r="J2" s="185"/>
      <c r="K2" s="185"/>
      <c r="L2" s="185"/>
      <c r="M2" s="185"/>
      <c r="N2" s="185"/>
      <c r="O2" s="185"/>
      <c r="P2" s="185"/>
      <c r="Q2" s="185"/>
    </row>
    <row r="3" spans="2:17" ht="12.75" customHeight="1" thickBot="1">
      <c r="B3" s="185"/>
      <c r="C3" s="574"/>
      <c r="D3" s="575"/>
      <c r="E3" s="575"/>
      <c r="F3" s="575"/>
      <c r="G3" s="570"/>
      <c r="H3" s="571"/>
      <c r="I3" s="185"/>
      <c r="J3" s="185"/>
      <c r="K3" s="185"/>
      <c r="L3" s="185"/>
      <c r="M3" s="185"/>
      <c r="N3" s="185"/>
      <c r="O3" s="185"/>
      <c r="P3" s="185"/>
      <c r="Q3" s="185"/>
    </row>
    <row r="5" spans="2:17">
      <c r="B5" s="186"/>
      <c r="C5" s="186"/>
      <c r="D5" s="186"/>
      <c r="E5" s="186"/>
      <c r="F5" s="186"/>
      <c r="G5" s="186"/>
      <c r="H5" s="186"/>
      <c r="I5" s="186"/>
      <c r="J5" s="186"/>
      <c r="K5" s="185"/>
      <c r="L5" s="185"/>
      <c r="M5" s="185"/>
      <c r="N5" s="185"/>
      <c r="O5" s="185"/>
      <c r="P5" s="185"/>
      <c r="Q5" s="185"/>
    </row>
    <row r="7" spans="2:17" ht="13.5" thickBot="1">
      <c r="B7" s="10" t="s">
        <v>243</v>
      </c>
      <c r="C7" s="578">
        <f>K8</f>
        <v>45931</v>
      </c>
      <c r="D7" s="578"/>
      <c r="E7" s="578"/>
      <c r="F7" s="578"/>
      <c r="G7" s="578"/>
      <c r="H7" s="578"/>
      <c r="I7" s="185"/>
      <c r="J7" s="185"/>
      <c r="K7" s="185"/>
      <c r="L7" s="185"/>
      <c r="M7" s="185"/>
      <c r="N7" s="185"/>
      <c r="O7" s="185"/>
      <c r="P7" s="185"/>
      <c r="Q7" s="185"/>
    </row>
    <row r="8" spans="2:17" ht="16.5" thickBot="1">
      <c r="B8" s="19" t="s">
        <v>244</v>
      </c>
      <c r="C8" s="80" t="s">
        <v>245</v>
      </c>
      <c r="D8" s="80" t="s">
        <v>246</v>
      </c>
      <c r="E8" s="80" t="s">
        <v>247</v>
      </c>
      <c r="F8" s="80" t="s">
        <v>248</v>
      </c>
      <c r="G8" s="80" t="s">
        <v>249</v>
      </c>
      <c r="H8" s="80" t="s">
        <v>250</v>
      </c>
      <c r="I8" s="81" t="s">
        <v>251</v>
      </c>
      <c r="J8" s="85" t="s">
        <v>252</v>
      </c>
      <c r="K8" s="82">
        <f>'Inv Totals'!B1</f>
        <v>45931</v>
      </c>
      <c r="L8" s="185"/>
      <c r="M8" s="185"/>
      <c r="N8" s="185"/>
      <c r="O8" s="185"/>
      <c r="P8" s="185"/>
      <c r="Q8" s="185"/>
    </row>
    <row r="9" spans="2:17">
      <c r="B9" s="88" t="s">
        <v>253</v>
      </c>
      <c r="C9" s="187">
        <f t="shared" ref="C9:C16" si="0">SUM(J24)</f>
        <v>18235.86</v>
      </c>
      <c r="D9" s="188">
        <f t="shared" ref="D9:D16" si="1">SUM(J39)</f>
        <v>36567.85</v>
      </c>
      <c r="E9" s="188">
        <f t="shared" ref="E9:E16" si="2">SUM(J54)</f>
        <v>40964.94</v>
      </c>
      <c r="F9" s="188">
        <f t="shared" ref="F9:F16" si="3">SUM(J69)</f>
        <v>36347.08</v>
      </c>
      <c r="G9" s="188">
        <f t="shared" ref="G9:G16" si="4">SUM(J84)</f>
        <v>38518.049999999996</v>
      </c>
      <c r="H9" s="189">
        <f>J99</f>
        <v>0</v>
      </c>
      <c r="I9" s="190">
        <f t="shared" ref="I9:I16" si="5">SUM(C9:H9)</f>
        <v>170633.77999999997</v>
      </c>
      <c r="J9" s="191"/>
      <c r="K9" s="192"/>
      <c r="L9" s="185"/>
      <c r="M9" s="185"/>
      <c r="N9" s="185"/>
      <c r="O9" s="185"/>
      <c r="P9" s="185"/>
      <c r="Q9" s="185"/>
    </row>
    <row r="10" spans="2:17">
      <c r="B10" s="89"/>
      <c r="C10" s="193">
        <f t="shared" si="0"/>
        <v>0</v>
      </c>
      <c r="D10" s="194">
        <f t="shared" si="1"/>
        <v>0</v>
      </c>
      <c r="E10" s="194">
        <f t="shared" si="2"/>
        <v>139.21</v>
      </c>
      <c r="F10" s="194">
        <f t="shared" si="3"/>
        <v>0</v>
      </c>
      <c r="G10" s="194">
        <f t="shared" si="4"/>
        <v>0</v>
      </c>
      <c r="H10" s="195">
        <f t="shared" ref="H10:H16" si="6">J100</f>
        <v>0</v>
      </c>
      <c r="I10" s="196">
        <f t="shared" si="5"/>
        <v>139.21</v>
      </c>
      <c r="J10" s="197" t="s">
        <v>254</v>
      </c>
      <c r="K10" s="198">
        <v>784620.35</v>
      </c>
      <c r="L10" s="18" t="s">
        <v>255</v>
      </c>
      <c r="M10" s="199"/>
      <c r="N10" s="199"/>
      <c r="O10" s="199"/>
      <c r="P10" s="199"/>
      <c r="Q10" s="199"/>
    </row>
    <row r="11" spans="2:17">
      <c r="B11" s="89" t="s">
        <v>256</v>
      </c>
      <c r="C11" s="193">
        <f t="shared" si="0"/>
        <v>916.17</v>
      </c>
      <c r="D11" s="194">
        <f t="shared" si="1"/>
        <v>3758.6800000000003</v>
      </c>
      <c r="E11" s="194">
        <f t="shared" si="2"/>
        <v>4185.28</v>
      </c>
      <c r="F11" s="194">
        <f t="shared" si="3"/>
        <v>10711.069999999998</v>
      </c>
      <c r="G11" s="194">
        <f t="shared" si="4"/>
        <v>1652.97</v>
      </c>
      <c r="H11" s="195">
        <f t="shared" si="6"/>
        <v>0</v>
      </c>
      <c r="I11" s="196">
        <f t="shared" si="5"/>
        <v>21224.17</v>
      </c>
      <c r="J11" s="200"/>
      <c r="K11" s="201"/>
      <c r="L11" s="185"/>
      <c r="M11" s="185"/>
      <c r="N11" s="185"/>
      <c r="O11" s="185"/>
      <c r="P11" s="185"/>
      <c r="Q11" s="185"/>
    </row>
    <row r="12" spans="2:17">
      <c r="B12" s="89" t="s">
        <v>257</v>
      </c>
      <c r="C12" s="193">
        <f t="shared" si="0"/>
        <v>0</v>
      </c>
      <c r="D12" s="194">
        <f t="shared" si="1"/>
        <v>3514.14</v>
      </c>
      <c r="E12" s="194">
        <f t="shared" si="2"/>
        <v>9927.85</v>
      </c>
      <c r="F12" s="194">
        <f t="shared" si="3"/>
        <v>6240</v>
      </c>
      <c r="G12" s="194">
        <f t="shared" si="4"/>
        <v>7119.11</v>
      </c>
      <c r="H12" s="195">
        <f t="shared" si="6"/>
        <v>0</v>
      </c>
      <c r="I12" s="196">
        <f t="shared" si="5"/>
        <v>26801.1</v>
      </c>
      <c r="J12" s="92" t="s">
        <v>258</v>
      </c>
      <c r="K12" s="198">
        <v>52093.57</v>
      </c>
      <c r="L12" s="18" t="s">
        <v>259</v>
      </c>
      <c r="M12" s="199"/>
      <c r="N12" s="199"/>
      <c r="O12" s="199"/>
      <c r="P12" s="199"/>
      <c r="Q12" s="185"/>
    </row>
    <row r="13" spans="2:17">
      <c r="B13" s="89" t="s">
        <v>32</v>
      </c>
      <c r="C13" s="193">
        <f t="shared" si="0"/>
        <v>0</v>
      </c>
      <c r="D13" s="194">
        <f t="shared" si="1"/>
        <v>4168.72</v>
      </c>
      <c r="E13" s="194">
        <f t="shared" si="2"/>
        <v>0</v>
      </c>
      <c r="F13" s="194">
        <f t="shared" si="3"/>
        <v>6676.78</v>
      </c>
      <c r="G13" s="194">
        <f t="shared" si="4"/>
        <v>1122.9000000000001</v>
      </c>
      <c r="H13" s="195">
        <f t="shared" si="6"/>
        <v>0</v>
      </c>
      <c r="I13" s="196">
        <f t="shared" si="5"/>
        <v>11968.4</v>
      </c>
      <c r="J13" s="202" t="s">
        <v>260</v>
      </c>
      <c r="K13" s="203">
        <f>I17</f>
        <v>231877.33</v>
      </c>
      <c r="L13" s="185"/>
      <c r="M13" s="185"/>
      <c r="N13" s="185"/>
      <c r="O13" s="185"/>
      <c r="P13" s="185"/>
      <c r="Q13" s="185"/>
    </row>
    <row r="14" spans="2:17">
      <c r="B14" s="89" t="s">
        <v>32</v>
      </c>
      <c r="C14" s="193">
        <f t="shared" si="0"/>
        <v>0</v>
      </c>
      <c r="D14" s="194">
        <f t="shared" si="1"/>
        <v>746.82</v>
      </c>
      <c r="E14" s="194">
        <f t="shared" si="2"/>
        <v>0</v>
      </c>
      <c r="F14" s="194">
        <f t="shared" si="3"/>
        <v>0</v>
      </c>
      <c r="G14" s="194">
        <f t="shared" si="4"/>
        <v>0</v>
      </c>
      <c r="H14" s="195">
        <f t="shared" si="6"/>
        <v>0</v>
      </c>
      <c r="I14" s="196">
        <f t="shared" si="5"/>
        <v>746.82</v>
      </c>
      <c r="J14" s="92" t="s">
        <v>261</v>
      </c>
      <c r="K14" s="204">
        <f>Food!E237</f>
        <v>43897.123999999996</v>
      </c>
      <c r="L14" s="185"/>
      <c r="M14" s="185"/>
      <c r="N14" s="185"/>
      <c r="O14" s="185"/>
      <c r="P14" s="185"/>
      <c r="Q14" s="185"/>
    </row>
    <row r="15" spans="2:17">
      <c r="B15" s="90" t="s">
        <v>262</v>
      </c>
      <c r="C15" s="193">
        <f t="shared" si="0"/>
        <v>0</v>
      </c>
      <c r="D15" s="194">
        <f t="shared" si="1"/>
        <v>0</v>
      </c>
      <c r="E15" s="194">
        <f t="shared" si="2"/>
        <v>0</v>
      </c>
      <c r="F15" s="194">
        <f t="shared" si="3"/>
        <v>0</v>
      </c>
      <c r="G15" s="194">
        <f t="shared" si="4"/>
        <v>0</v>
      </c>
      <c r="H15" s="195">
        <f t="shared" si="6"/>
        <v>0</v>
      </c>
      <c r="I15" s="196">
        <f t="shared" si="5"/>
        <v>0</v>
      </c>
      <c r="J15" s="200"/>
      <c r="K15" s="205"/>
      <c r="L15" s="185"/>
      <c r="M15" s="185"/>
      <c r="N15" s="185"/>
      <c r="O15" s="185"/>
      <c r="P15" s="185"/>
      <c r="Q15" s="185"/>
    </row>
    <row r="16" spans="2:17" ht="13.5" thickBot="1">
      <c r="B16" s="91" t="s">
        <v>263</v>
      </c>
      <c r="C16" s="87">
        <f t="shared" si="0"/>
        <v>0</v>
      </c>
      <c r="D16" s="20">
        <f t="shared" si="1"/>
        <v>0</v>
      </c>
      <c r="E16" s="20">
        <f t="shared" si="2"/>
        <v>363.85</v>
      </c>
      <c r="F16" s="20">
        <f t="shared" si="3"/>
        <v>0</v>
      </c>
      <c r="G16" s="20">
        <f t="shared" si="4"/>
        <v>0</v>
      </c>
      <c r="H16" s="84">
        <f t="shared" si="6"/>
        <v>0</v>
      </c>
      <c r="I16" s="86">
        <f t="shared" si="5"/>
        <v>363.85</v>
      </c>
      <c r="J16" s="206" t="s">
        <v>264</v>
      </c>
      <c r="K16" s="207">
        <f>K12+K13-K14</f>
        <v>240073.77599999995</v>
      </c>
      <c r="L16" s="185"/>
      <c r="M16" s="185"/>
      <c r="N16" s="185"/>
      <c r="O16" s="185"/>
      <c r="P16" s="185"/>
      <c r="Q16" s="185"/>
    </row>
    <row r="17" spans="2:19" ht="15.75" thickBot="1">
      <c r="B17" s="19" t="s">
        <v>265</v>
      </c>
      <c r="C17" s="208">
        <f t="shared" ref="C17:I17" si="7">SUM(C9:C16)</f>
        <v>19152.03</v>
      </c>
      <c r="D17" s="208">
        <f t="shared" si="7"/>
        <v>48756.21</v>
      </c>
      <c r="E17" s="208">
        <f t="shared" si="7"/>
        <v>55581.13</v>
      </c>
      <c r="F17" s="208">
        <f t="shared" si="7"/>
        <v>59974.93</v>
      </c>
      <c r="G17" s="208">
        <f t="shared" si="7"/>
        <v>48413.03</v>
      </c>
      <c r="H17" s="208">
        <f t="shared" si="7"/>
        <v>0</v>
      </c>
      <c r="I17" s="209">
        <f t="shared" si="7"/>
        <v>231877.33</v>
      </c>
      <c r="J17" s="83" t="s">
        <v>266</v>
      </c>
      <c r="K17" s="106">
        <f>K16/K10</f>
        <v>0.30597444483819464</v>
      </c>
      <c r="L17" s="185"/>
      <c r="M17" s="185"/>
      <c r="N17" s="185"/>
      <c r="O17" s="185"/>
      <c r="P17" s="185"/>
      <c r="Q17" s="185"/>
      <c r="R17" s="185"/>
      <c r="S17" s="185"/>
    </row>
    <row r="19" spans="2:19">
      <c r="B19" s="186"/>
      <c r="C19" s="186"/>
      <c r="D19" s="186"/>
      <c r="E19" s="186"/>
      <c r="F19" s="186"/>
      <c r="G19" s="186"/>
      <c r="H19" s="186"/>
      <c r="I19" s="186"/>
      <c r="J19" s="186"/>
      <c r="K19" s="185"/>
      <c r="L19" s="185"/>
      <c r="M19" s="185"/>
      <c r="N19" s="185"/>
      <c r="O19" s="185"/>
      <c r="P19" s="185"/>
      <c r="Q19" s="185"/>
      <c r="R19" s="185"/>
      <c r="S19" s="185"/>
    </row>
    <row r="21" spans="2:19" ht="13.5" thickBot="1">
      <c r="B21" s="10" t="s">
        <v>243</v>
      </c>
      <c r="C21" s="566">
        <f>K8</f>
        <v>45931</v>
      </c>
      <c r="D21" s="566"/>
      <c r="E21" s="566"/>
      <c r="F21" s="566"/>
      <c r="G21" s="567" t="s">
        <v>267</v>
      </c>
      <c r="H21" s="567"/>
      <c r="I21" s="567"/>
      <c r="J21" s="567"/>
      <c r="K21" s="185"/>
      <c r="L21" s="185"/>
      <c r="M21" s="185"/>
      <c r="N21" s="185"/>
      <c r="O21" s="185"/>
      <c r="P21" s="185"/>
      <c r="Q21" s="185"/>
      <c r="R21" s="185"/>
      <c r="S21" s="185"/>
    </row>
    <row r="22" spans="2:19" ht="13.5" thickBot="1">
      <c r="B22" s="10"/>
      <c r="C22" s="94" t="s">
        <v>268</v>
      </c>
      <c r="D22" s="95" t="s">
        <v>269</v>
      </c>
      <c r="E22" s="95" t="s">
        <v>270</v>
      </c>
      <c r="F22" s="95" t="s">
        <v>271</v>
      </c>
      <c r="G22" s="95" t="s">
        <v>272</v>
      </c>
      <c r="H22" s="95" t="s">
        <v>273</v>
      </c>
      <c r="I22" s="96" t="s">
        <v>274</v>
      </c>
      <c r="J22" s="180"/>
      <c r="K22" s="185"/>
      <c r="L22" s="185"/>
      <c r="M22" s="185"/>
      <c r="N22" s="185"/>
      <c r="O22" s="185"/>
      <c r="P22" s="185"/>
      <c r="Q22" s="185"/>
      <c r="R22" s="185"/>
      <c r="S22" s="185"/>
    </row>
    <row r="23" spans="2:19" ht="13.5" thickBot="1">
      <c r="B23" s="19" t="str">
        <f>B8</f>
        <v>SUPPLIERS</v>
      </c>
      <c r="C23" s="97">
        <f>G2</f>
        <v>0</v>
      </c>
      <c r="D23" s="93">
        <f t="shared" ref="D23:I23" si="8">C23+1</f>
        <v>1</v>
      </c>
      <c r="E23" s="93">
        <f t="shared" si="8"/>
        <v>2</v>
      </c>
      <c r="F23" s="93">
        <f t="shared" si="8"/>
        <v>3</v>
      </c>
      <c r="G23" s="93">
        <f t="shared" si="8"/>
        <v>4</v>
      </c>
      <c r="H23" s="93">
        <f t="shared" si="8"/>
        <v>5</v>
      </c>
      <c r="I23" s="101">
        <f t="shared" si="8"/>
        <v>6</v>
      </c>
      <c r="J23" s="81" t="s">
        <v>275</v>
      </c>
      <c r="K23" s="185"/>
      <c r="L23" s="185"/>
      <c r="M23" s="185"/>
      <c r="N23" s="185"/>
      <c r="O23" s="185"/>
      <c r="P23" s="185"/>
      <c r="Q23" s="185"/>
      <c r="R23" s="185"/>
      <c r="S23" s="185"/>
    </row>
    <row r="24" spans="2:19">
      <c r="B24" s="99" t="str">
        <f t="shared" ref="B24:B31" si="9">B9</f>
        <v>Sysco</v>
      </c>
      <c r="C24" s="210"/>
      <c r="D24" s="211"/>
      <c r="E24" s="211"/>
      <c r="F24" s="211">
        <v>1757.95</v>
      </c>
      <c r="G24" s="211">
        <v>7707.01</v>
      </c>
      <c r="H24" s="211">
        <v>8770.9</v>
      </c>
      <c r="I24" s="212"/>
      <c r="J24" s="190">
        <f t="shared" ref="J24:J31" si="10">SUM(C24:I24)</f>
        <v>18235.86</v>
      </c>
      <c r="K24" s="185"/>
      <c r="L24" s="185"/>
      <c r="M24" s="185"/>
      <c r="N24" s="185"/>
      <c r="O24" s="185"/>
      <c r="P24" s="185"/>
      <c r="Q24" s="185"/>
      <c r="R24" s="185"/>
      <c r="S24" s="185"/>
    </row>
    <row r="25" spans="2:19">
      <c r="B25" s="100">
        <f t="shared" si="9"/>
        <v>0</v>
      </c>
      <c r="C25" s="213"/>
      <c r="D25" s="214"/>
      <c r="E25" s="214"/>
      <c r="F25" s="214"/>
      <c r="G25" s="214"/>
      <c r="H25" s="214"/>
      <c r="I25" s="215"/>
      <c r="J25" s="196">
        <f t="shared" si="10"/>
        <v>0</v>
      </c>
      <c r="K25" s="185"/>
      <c r="L25" s="185"/>
      <c r="M25" s="185"/>
      <c r="N25" s="185"/>
      <c r="O25" s="185"/>
      <c r="P25" s="185"/>
      <c r="Q25" s="185"/>
      <c r="R25" s="185"/>
      <c r="S25" s="185"/>
    </row>
    <row r="26" spans="2:19">
      <c r="B26" s="100" t="str">
        <f t="shared" si="9"/>
        <v>Produce Alliance</v>
      </c>
      <c r="C26" s="213"/>
      <c r="D26" s="214"/>
      <c r="E26" s="214"/>
      <c r="F26" s="214"/>
      <c r="G26" s="214">
        <v>916.17</v>
      </c>
      <c r="H26" s="214"/>
      <c r="I26" s="215"/>
      <c r="J26" s="196">
        <f t="shared" si="10"/>
        <v>916.17</v>
      </c>
      <c r="K26" s="185"/>
      <c r="L26" s="185"/>
      <c r="M26" s="185"/>
      <c r="N26" s="185"/>
      <c r="O26" s="185"/>
      <c r="P26" s="185"/>
      <c r="Q26" s="185"/>
      <c r="R26" s="185"/>
      <c r="S26" s="185"/>
    </row>
    <row r="27" spans="2:19">
      <c r="B27" s="100" t="str">
        <f t="shared" si="9"/>
        <v>Selected Food</v>
      </c>
      <c r="C27" s="213"/>
      <c r="D27" s="214"/>
      <c r="E27" s="214"/>
      <c r="F27" s="214"/>
      <c r="G27" s="214"/>
      <c r="H27" s="214"/>
      <c r="I27" s="215"/>
      <c r="J27" s="196">
        <f t="shared" si="10"/>
        <v>0</v>
      </c>
      <c r="K27" s="185"/>
      <c r="L27" s="185"/>
      <c r="M27" s="185"/>
      <c r="N27" s="185"/>
      <c r="O27" s="185"/>
      <c r="P27" s="185"/>
      <c r="Q27" s="185"/>
      <c r="R27" s="185"/>
      <c r="S27" s="185"/>
    </row>
    <row r="28" spans="2:19">
      <c r="B28" s="100" t="str">
        <f t="shared" si="9"/>
        <v xml:space="preserve"> </v>
      </c>
      <c r="C28" s="213"/>
      <c r="D28" s="214"/>
      <c r="E28" s="214"/>
      <c r="F28" s="214"/>
      <c r="G28" s="214"/>
      <c r="H28" s="214"/>
      <c r="I28" s="215"/>
      <c r="J28" s="196">
        <f t="shared" si="10"/>
        <v>0</v>
      </c>
      <c r="K28" s="185"/>
      <c r="L28" s="185"/>
      <c r="M28" s="185"/>
      <c r="N28" s="185"/>
      <c r="O28" s="185"/>
      <c r="P28" s="185"/>
      <c r="Q28" s="185"/>
      <c r="R28" s="185"/>
      <c r="S28" s="185"/>
    </row>
    <row r="29" spans="2:19">
      <c r="B29" s="100" t="str">
        <f t="shared" si="9"/>
        <v xml:space="preserve"> </v>
      </c>
      <c r="C29" s="213"/>
      <c r="D29" s="214"/>
      <c r="E29" s="214"/>
      <c r="F29" s="214"/>
      <c r="G29" s="214"/>
      <c r="H29" s="214"/>
      <c r="I29" s="215"/>
      <c r="J29" s="196">
        <f t="shared" si="10"/>
        <v>0</v>
      </c>
      <c r="K29" s="185"/>
      <c r="L29" s="185"/>
      <c r="M29" s="185"/>
      <c r="N29" s="185"/>
      <c r="O29" s="185"/>
      <c r="P29" s="185"/>
      <c r="Q29" s="185"/>
      <c r="R29" s="185"/>
      <c r="S29" s="185"/>
    </row>
    <row r="30" spans="2:19">
      <c r="B30" s="100" t="str">
        <f t="shared" si="9"/>
        <v>Petty Cash</v>
      </c>
      <c r="C30" s="213"/>
      <c r="D30" s="214"/>
      <c r="E30" s="214"/>
      <c r="F30" s="214"/>
      <c r="G30" s="214"/>
      <c r="H30" s="214"/>
      <c r="I30" s="215"/>
      <c r="J30" s="196">
        <f t="shared" si="10"/>
        <v>0</v>
      </c>
      <c r="K30" s="185"/>
      <c r="L30" s="185"/>
      <c r="M30" s="185"/>
      <c r="N30" s="185"/>
      <c r="O30" s="185"/>
      <c r="P30" s="185"/>
      <c r="Q30" s="185"/>
      <c r="R30" s="185"/>
      <c r="S30" s="185"/>
    </row>
    <row r="31" spans="2:19" ht="21" thickBot="1">
      <c r="B31" s="91" t="str">
        <f t="shared" si="9"/>
        <v>CREDITS (Negative)</v>
      </c>
      <c r="C31" s="98"/>
      <c r="D31" s="5"/>
      <c r="E31" s="5"/>
      <c r="F31" s="5"/>
      <c r="G31" s="5"/>
      <c r="H31" s="5"/>
      <c r="I31" s="102"/>
      <c r="J31" s="103">
        <f t="shared" si="10"/>
        <v>0</v>
      </c>
      <c r="K31" s="21" t="s">
        <v>276</v>
      </c>
      <c r="L31" s="199"/>
      <c r="M31" s="199"/>
      <c r="N31" s="199"/>
      <c r="O31" s="199"/>
      <c r="P31" s="199"/>
      <c r="Q31" s="199"/>
      <c r="R31" s="199"/>
      <c r="S31" s="199"/>
    </row>
    <row r="32" spans="2:19" ht="13.5" thickBot="1">
      <c r="B32" s="19" t="s">
        <v>265</v>
      </c>
      <c r="C32" s="208">
        <f t="shared" ref="C32:I32" si="11">SUM(C24:C31)</f>
        <v>0</v>
      </c>
      <c r="D32" s="208">
        <f t="shared" si="11"/>
        <v>0</v>
      </c>
      <c r="E32" s="208">
        <f t="shared" si="11"/>
        <v>0</v>
      </c>
      <c r="F32" s="208">
        <f t="shared" si="11"/>
        <v>1757.95</v>
      </c>
      <c r="G32" s="208">
        <f t="shared" si="11"/>
        <v>8623.18</v>
      </c>
      <c r="H32" s="208">
        <f t="shared" si="11"/>
        <v>8770.9</v>
      </c>
      <c r="I32" s="208">
        <f t="shared" si="11"/>
        <v>0</v>
      </c>
      <c r="J32" s="209">
        <f>SUM(J24:J31)</f>
        <v>19152.03</v>
      </c>
      <c r="K32" s="185"/>
      <c r="L32" s="185"/>
      <c r="M32" s="185"/>
      <c r="N32" s="185"/>
      <c r="O32" s="185"/>
      <c r="P32" s="185"/>
      <c r="Q32" s="185"/>
      <c r="R32" s="185"/>
      <c r="S32" s="185"/>
    </row>
    <row r="34" spans="2:11">
      <c r="B34" s="186"/>
      <c r="C34" s="186"/>
      <c r="D34" s="186"/>
      <c r="E34" s="186"/>
      <c r="F34" s="186"/>
      <c r="G34" s="186"/>
      <c r="H34" s="186"/>
      <c r="I34" s="186"/>
      <c r="J34" s="186"/>
      <c r="K34" s="185"/>
    </row>
    <row r="36" spans="2:11" ht="13.5" thickBot="1">
      <c r="B36" s="10" t="s">
        <v>243</v>
      </c>
      <c r="C36" s="576">
        <f>K8</f>
        <v>45931</v>
      </c>
      <c r="D36" s="576"/>
      <c r="E36" s="576"/>
      <c r="F36" s="576"/>
      <c r="G36" s="577" t="s">
        <v>277</v>
      </c>
      <c r="H36" s="577"/>
      <c r="I36" s="577"/>
      <c r="J36" s="567"/>
      <c r="K36" s="185"/>
    </row>
    <row r="37" spans="2:11" ht="13.5" thickBot="1">
      <c r="B37" s="10"/>
      <c r="C37" s="94" t="s">
        <v>268</v>
      </c>
      <c r="D37" s="95" t="s">
        <v>269</v>
      </c>
      <c r="E37" s="95" t="s">
        <v>270</v>
      </c>
      <c r="F37" s="95" t="s">
        <v>271</v>
      </c>
      <c r="G37" s="95" t="s">
        <v>272</v>
      </c>
      <c r="H37" s="95" t="s">
        <v>273</v>
      </c>
      <c r="I37" s="96" t="s">
        <v>274</v>
      </c>
      <c r="J37" s="180"/>
      <c r="K37" s="185"/>
    </row>
    <row r="38" spans="2:11" ht="13.5" thickBot="1">
      <c r="B38" s="19" t="str">
        <f>B8</f>
        <v>SUPPLIERS</v>
      </c>
      <c r="C38" s="97">
        <f>I23+1</f>
        <v>7</v>
      </c>
      <c r="D38" s="93">
        <f t="shared" ref="D38:I38" si="12">C38+1</f>
        <v>8</v>
      </c>
      <c r="E38" s="93">
        <f t="shared" si="12"/>
        <v>9</v>
      </c>
      <c r="F38" s="93">
        <f t="shared" si="12"/>
        <v>10</v>
      </c>
      <c r="G38" s="93">
        <f t="shared" si="12"/>
        <v>11</v>
      </c>
      <c r="H38" s="93">
        <f t="shared" si="12"/>
        <v>12</v>
      </c>
      <c r="I38" s="101">
        <f t="shared" si="12"/>
        <v>13</v>
      </c>
      <c r="J38" s="81" t="s">
        <v>278</v>
      </c>
      <c r="K38" s="185"/>
    </row>
    <row r="39" spans="2:11">
      <c r="B39" s="99" t="str">
        <f t="shared" ref="B39:B46" si="13">B24</f>
        <v>Sysco</v>
      </c>
      <c r="C39" s="514">
        <v>11033.55</v>
      </c>
      <c r="D39" s="515"/>
      <c r="E39" s="516">
        <v>14030.43</v>
      </c>
      <c r="F39" s="515"/>
      <c r="G39" s="516">
        <v>9246.61</v>
      </c>
      <c r="H39" s="515">
        <v>2257.2600000000002</v>
      </c>
      <c r="I39" s="517"/>
      <c r="J39" s="190">
        <f t="shared" ref="J39:J46" si="14">SUM(C39:I39)</f>
        <v>36567.85</v>
      </c>
      <c r="K39" s="185"/>
    </row>
    <row r="40" spans="2:11">
      <c r="B40" s="100">
        <f t="shared" si="13"/>
        <v>0</v>
      </c>
      <c r="C40" s="518"/>
      <c r="D40" s="519"/>
      <c r="E40" s="519"/>
      <c r="F40" s="519"/>
      <c r="G40" s="519"/>
      <c r="H40" s="519"/>
      <c r="I40" s="520"/>
      <c r="J40" s="196">
        <f t="shared" si="14"/>
        <v>0</v>
      </c>
      <c r="K40" s="185"/>
    </row>
    <row r="41" spans="2:11">
      <c r="B41" s="100" t="str">
        <f t="shared" si="13"/>
        <v>Produce Alliance</v>
      </c>
      <c r="C41" s="521">
        <v>1512.72</v>
      </c>
      <c r="D41" s="519"/>
      <c r="E41" s="519">
        <v>1088.6199999999999</v>
      </c>
      <c r="F41" s="519"/>
      <c r="G41" s="522"/>
      <c r="H41" s="522">
        <v>1157.3399999999999</v>
      </c>
      <c r="I41" s="520"/>
      <c r="J41" s="196">
        <f t="shared" si="14"/>
        <v>3758.6800000000003</v>
      </c>
      <c r="K41" s="185"/>
    </row>
    <row r="42" spans="2:11">
      <c r="B42" s="100" t="str">
        <f t="shared" si="13"/>
        <v>Selected Food</v>
      </c>
      <c r="C42" s="518"/>
      <c r="D42" s="519"/>
      <c r="E42" s="519"/>
      <c r="F42" s="519">
        <v>3514.14</v>
      </c>
      <c r="G42" s="519"/>
      <c r="H42" s="519"/>
      <c r="I42" s="520"/>
      <c r="J42" s="196">
        <f t="shared" si="14"/>
        <v>3514.14</v>
      </c>
      <c r="K42" s="185"/>
    </row>
    <row r="43" spans="2:11">
      <c r="B43" s="100" t="str">
        <f t="shared" si="13"/>
        <v xml:space="preserve"> </v>
      </c>
      <c r="C43" s="518">
        <v>4168.72</v>
      </c>
      <c r="D43" s="519"/>
      <c r="E43" s="519"/>
      <c r="F43" s="519"/>
      <c r="G43" s="519"/>
      <c r="H43" s="519" t="s">
        <v>32</v>
      </c>
      <c r="I43" s="520"/>
      <c r="J43" s="196">
        <f t="shared" si="14"/>
        <v>4168.72</v>
      </c>
      <c r="K43" s="185"/>
    </row>
    <row r="44" spans="2:11">
      <c r="B44" s="100" t="str">
        <f t="shared" si="13"/>
        <v xml:space="preserve"> </v>
      </c>
      <c r="C44" s="518">
        <v>746.82</v>
      </c>
      <c r="D44" s="519"/>
      <c r="E44" s="519"/>
      <c r="F44" s="519"/>
      <c r="G44" s="519"/>
      <c r="H44" s="519"/>
      <c r="I44" s="520"/>
      <c r="J44" s="196">
        <f t="shared" si="14"/>
        <v>746.82</v>
      </c>
      <c r="K44" s="185"/>
    </row>
    <row r="45" spans="2:11">
      <c r="B45" s="100" t="str">
        <f t="shared" si="13"/>
        <v>Petty Cash</v>
      </c>
      <c r="C45" s="518"/>
      <c r="D45" s="519"/>
      <c r="E45" s="519"/>
      <c r="F45" s="519"/>
      <c r="G45" s="519"/>
      <c r="H45" s="519"/>
      <c r="I45" s="520"/>
      <c r="J45" s="196">
        <f t="shared" si="14"/>
        <v>0</v>
      </c>
      <c r="K45" s="185"/>
    </row>
    <row r="46" spans="2:11" ht="21" thickBot="1">
      <c r="B46" s="91" t="str">
        <f t="shared" si="13"/>
        <v>CREDITS (Negative)</v>
      </c>
      <c r="C46" s="523"/>
      <c r="D46" s="523"/>
      <c r="E46" s="523"/>
      <c r="F46" s="523"/>
      <c r="G46" s="523"/>
      <c r="H46" s="523"/>
      <c r="I46" s="523"/>
      <c r="J46" s="103">
        <f t="shared" si="14"/>
        <v>0</v>
      </c>
      <c r="K46" s="22" t="s">
        <v>276</v>
      </c>
    </row>
    <row r="47" spans="2:11" ht="13.5" thickBot="1">
      <c r="B47" s="19" t="s">
        <v>265</v>
      </c>
      <c r="C47" s="208">
        <f t="shared" ref="C47:I47" si="15">SUM(C39:C46)</f>
        <v>17461.809999999998</v>
      </c>
      <c r="D47" s="208">
        <f t="shared" si="15"/>
        <v>0</v>
      </c>
      <c r="E47" s="208">
        <f t="shared" si="15"/>
        <v>15119.05</v>
      </c>
      <c r="F47" s="208">
        <f t="shared" si="15"/>
        <v>3514.14</v>
      </c>
      <c r="G47" s="208">
        <f t="shared" si="15"/>
        <v>9246.61</v>
      </c>
      <c r="H47" s="208">
        <f t="shared" si="15"/>
        <v>3414.6000000000004</v>
      </c>
      <c r="I47" s="208">
        <f t="shared" si="15"/>
        <v>0</v>
      </c>
      <c r="J47" s="209">
        <f>SUM(J39:J46)</f>
        <v>48756.21</v>
      </c>
      <c r="K47" s="185"/>
    </row>
    <row r="49" spans="2:11">
      <c r="B49" s="186"/>
      <c r="C49" s="186"/>
      <c r="D49" s="186"/>
      <c r="E49" s="186"/>
      <c r="F49" s="186"/>
      <c r="G49" s="186"/>
      <c r="H49" s="186"/>
      <c r="I49" s="186"/>
      <c r="J49" s="186"/>
      <c r="K49" s="185"/>
    </row>
    <row r="51" spans="2:11" ht="13.5" thickBot="1">
      <c r="B51" s="10" t="s">
        <v>243</v>
      </c>
      <c r="C51" s="576">
        <f>K8</f>
        <v>45931</v>
      </c>
      <c r="D51" s="576"/>
      <c r="E51" s="576"/>
      <c r="F51" s="576"/>
      <c r="G51" s="577" t="s">
        <v>279</v>
      </c>
      <c r="H51" s="577"/>
      <c r="I51" s="577"/>
      <c r="J51" s="567"/>
      <c r="K51" s="185"/>
    </row>
    <row r="52" spans="2:11" ht="13.5" thickBot="1">
      <c r="B52" s="10"/>
      <c r="C52" s="94" t="s">
        <v>268</v>
      </c>
      <c r="D52" s="95" t="s">
        <v>269</v>
      </c>
      <c r="E52" s="95" t="s">
        <v>270</v>
      </c>
      <c r="F52" s="95" t="s">
        <v>271</v>
      </c>
      <c r="G52" s="95" t="s">
        <v>272</v>
      </c>
      <c r="H52" s="95" t="s">
        <v>273</v>
      </c>
      <c r="I52" s="96" t="s">
        <v>274</v>
      </c>
      <c r="J52" s="180"/>
      <c r="K52" s="185"/>
    </row>
    <row r="53" spans="2:11" ht="13.5" thickBot="1">
      <c r="B53" s="19" t="str">
        <f>B8</f>
        <v>SUPPLIERS</v>
      </c>
      <c r="C53" s="97">
        <f>I38+1</f>
        <v>14</v>
      </c>
      <c r="D53" s="93">
        <f t="shared" ref="D53:I53" si="16">C53+1</f>
        <v>15</v>
      </c>
      <c r="E53" s="93">
        <f t="shared" si="16"/>
        <v>16</v>
      </c>
      <c r="F53" s="93">
        <f t="shared" si="16"/>
        <v>17</v>
      </c>
      <c r="G53" s="93">
        <f t="shared" si="16"/>
        <v>18</v>
      </c>
      <c r="H53" s="93">
        <f t="shared" si="16"/>
        <v>19</v>
      </c>
      <c r="I53" s="101">
        <f t="shared" si="16"/>
        <v>20</v>
      </c>
      <c r="J53" s="81" t="s">
        <v>278</v>
      </c>
      <c r="K53" s="185"/>
    </row>
    <row r="54" spans="2:11">
      <c r="B54" s="99" t="str">
        <f t="shared" ref="B54:B61" si="17">B39</f>
        <v>Sysco</v>
      </c>
      <c r="C54" s="210">
        <v>13266.8</v>
      </c>
      <c r="D54" s="211"/>
      <c r="E54" s="211">
        <v>8651.66</v>
      </c>
      <c r="F54" s="211"/>
      <c r="G54" s="211">
        <v>19046.48</v>
      </c>
      <c r="H54" s="211"/>
      <c r="I54" s="212"/>
      <c r="J54" s="190">
        <f t="shared" ref="J54:J61" si="18">SUM(C54:I54)</f>
        <v>40964.94</v>
      </c>
      <c r="K54" s="185"/>
    </row>
    <row r="55" spans="2:11">
      <c r="B55" s="100">
        <f t="shared" si="17"/>
        <v>0</v>
      </c>
      <c r="C55" s="213"/>
      <c r="D55" s="214"/>
      <c r="E55" s="214"/>
      <c r="F55" s="214"/>
      <c r="G55" s="214"/>
      <c r="H55" s="214">
        <v>139.21</v>
      </c>
      <c r="I55" s="215"/>
      <c r="J55" s="196">
        <f t="shared" si="18"/>
        <v>139.21</v>
      </c>
      <c r="K55" s="185"/>
    </row>
    <row r="56" spans="2:11">
      <c r="B56" s="100" t="str">
        <f t="shared" si="17"/>
        <v>Produce Alliance</v>
      </c>
      <c r="C56" s="213">
        <v>1089.73</v>
      </c>
      <c r="D56" s="214"/>
      <c r="E56" s="214">
        <v>1233.6199999999999</v>
      </c>
      <c r="F56" s="214"/>
      <c r="G56" s="214"/>
      <c r="H56" s="214">
        <v>1861.93</v>
      </c>
      <c r="I56" s="215"/>
      <c r="J56" s="196">
        <f t="shared" si="18"/>
        <v>4185.28</v>
      </c>
      <c r="K56" s="185"/>
    </row>
    <row r="57" spans="2:11">
      <c r="B57" s="100" t="str">
        <f t="shared" si="17"/>
        <v>Selected Food</v>
      </c>
      <c r="C57" s="213">
        <v>15.85</v>
      </c>
      <c r="D57" s="214"/>
      <c r="E57" s="214"/>
      <c r="F57" s="214">
        <v>3637.88</v>
      </c>
      <c r="G57" s="214">
        <v>6274.12</v>
      </c>
      <c r="H57" s="214"/>
      <c r="I57" s="215"/>
      <c r="J57" s="196">
        <f t="shared" si="18"/>
        <v>9927.85</v>
      </c>
      <c r="K57" s="185"/>
    </row>
    <row r="58" spans="2:11">
      <c r="B58" s="100" t="str">
        <f t="shared" si="17"/>
        <v xml:space="preserve"> </v>
      </c>
      <c r="C58" s="213"/>
      <c r="D58" s="214"/>
      <c r="E58" s="214"/>
      <c r="F58" s="214"/>
      <c r="G58" s="214"/>
      <c r="H58" s="214"/>
      <c r="I58" s="215"/>
      <c r="J58" s="196">
        <f t="shared" si="18"/>
        <v>0</v>
      </c>
      <c r="K58" s="185"/>
    </row>
    <row r="59" spans="2:11">
      <c r="B59" s="100" t="str">
        <f t="shared" si="17"/>
        <v xml:space="preserve"> </v>
      </c>
      <c r="C59" s="213"/>
      <c r="D59" s="214"/>
      <c r="E59" s="214"/>
      <c r="F59" s="214"/>
      <c r="G59" s="214"/>
      <c r="H59" s="214"/>
      <c r="I59" s="215"/>
      <c r="J59" s="196">
        <f t="shared" si="18"/>
        <v>0</v>
      </c>
      <c r="K59" s="185"/>
    </row>
    <row r="60" spans="2:11">
      <c r="B60" s="100" t="str">
        <f t="shared" si="17"/>
        <v>Petty Cash</v>
      </c>
      <c r="C60" s="213"/>
      <c r="D60" s="214"/>
      <c r="E60" s="214"/>
      <c r="F60" s="214"/>
      <c r="G60" s="214"/>
      <c r="H60" s="214"/>
      <c r="I60" s="215"/>
      <c r="J60" s="196">
        <f t="shared" si="18"/>
        <v>0</v>
      </c>
      <c r="K60" s="185"/>
    </row>
    <row r="61" spans="2:11" ht="21" thickBot="1">
      <c r="B61" s="91" t="str">
        <f t="shared" si="17"/>
        <v>CREDITS (Negative)</v>
      </c>
      <c r="C61" s="524"/>
      <c r="D61" s="524"/>
      <c r="E61" s="524"/>
      <c r="F61" s="524"/>
      <c r="G61" s="524">
        <v>363.85</v>
      </c>
      <c r="H61" s="524"/>
      <c r="I61" s="524"/>
      <c r="J61" s="103">
        <f t="shared" si="18"/>
        <v>363.85</v>
      </c>
      <c r="K61" s="22" t="s">
        <v>276</v>
      </c>
    </row>
    <row r="62" spans="2:11" ht="13.5" thickBot="1">
      <c r="B62" s="19" t="s">
        <v>265</v>
      </c>
      <c r="C62" s="208">
        <f t="shared" ref="C62:I62" si="19">SUM(C54:C61)</f>
        <v>14372.38</v>
      </c>
      <c r="D62" s="208">
        <f t="shared" si="19"/>
        <v>0</v>
      </c>
      <c r="E62" s="208">
        <f t="shared" si="19"/>
        <v>9885.2799999999988</v>
      </c>
      <c r="F62" s="208">
        <f t="shared" si="19"/>
        <v>3637.88</v>
      </c>
      <c r="G62" s="208">
        <f t="shared" si="19"/>
        <v>25684.449999999997</v>
      </c>
      <c r="H62" s="208">
        <f t="shared" si="19"/>
        <v>2001.14</v>
      </c>
      <c r="I62" s="208">
        <f t="shared" si="19"/>
        <v>0</v>
      </c>
      <c r="J62" s="209">
        <f>SUM(J54:J61)</f>
        <v>55581.13</v>
      </c>
      <c r="K62" s="185"/>
    </row>
    <row r="64" spans="2:11">
      <c r="B64" s="186"/>
      <c r="C64" s="186"/>
      <c r="D64" s="186"/>
      <c r="E64" s="186"/>
      <c r="F64" s="186"/>
      <c r="G64" s="186"/>
      <c r="H64" s="186"/>
      <c r="I64" s="186"/>
      <c r="J64" s="186"/>
      <c r="K64" s="185"/>
    </row>
    <row r="66" spans="2:11" ht="13.5" thickBot="1">
      <c r="B66" s="10" t="s">
        <v>243</v>
      </c>
      <c r="C66" s="576">
        <f>K8</f>
        <v>45931</v>
      </c>
      <c r="D66" s="576"/>
      <c r="E66" s="576"/>
      <c r="F66" s="576"/>
      <c r="G66" s="577" t="s">
        <v>280</v>
      </c>
      <c r="H66" s="577"/>
      <c r="I66" s="577"/>
      <c r="J66" s="567"/>
      <c r="K66" s="185"/>
    </row>
    <row r="67" spans="2:11" ht="13.5" thickBot="1">
      <c r="B67" s="10"/>
      <c r="C67" s="94" t="s">
        <v>268</v>
      </c>
      <c r="D67" s="95" t="s">
        <v>269</v>
      </c>
      <c r="E67" s="95" t="s">
        <v>270</v>
      </c>
      <c r="F67" s="95" t="s">
        <v>271</v>
      </c>
      <c r="G67" s="95" t="s">
        <v>272</v>
      </c>
      <c r="H67" s="95" t="s">
        <v>273</v>
      </c>
      <c r="I67" s="96" t="s">
        <v>274</v>
      </c>
      <c r="J67" s="180"/>
      <c r="K67" s="185"/>
    </row>
    <row r="68" spans="2:11" ht="13.5" thickBot="1">
      <c r="B68" s="19" t="str">
        <f>B8</f>
        <v>SUPPLIERS</v>
      </c>
      <c r="C68" s="97">
        <f>I53+1</f>
        <v>21</v>
      </c>
      <c r="D68" s="93">
        <f t="shared" ref="D68:I68" si="20">C68+1</f>
        <v>22</v>
      </c>
      <c r="E68" s="93">
        <f t="shared" si="20"/>
        <v>23</v>
      </c>
      <c r="F68" s="93">
        <f t="shared" si="20"/>
        <v>24</v>
      </c>
      <c r="G68" s="93">
        <f t="shared" si="20"/>
        <v>25</v>
      </c>
      <c r="H68" s="93">
        <f t="shared" si="20"/>
        <v>26</v>
      </c>
      <c r="I68" s="101">
        <f t="shared" si="20"/>
        <v>27</v>
      </c>
      <c r="J68" s="81" t="s">
        <v>278</v>
      </c>
      <c r="K68" s="185"/>
    </row>
    <row r="69" spans="2:11">
      <c r="B69" s="99" t="str">
        <f t="shared" ref="B69:B76" si="21">B54</f>
        <v>Sysco</v>
      </c>
      <c r="C69" s="210">
        <v>9598.2099999999991</v>
      </c>
      <c r="D69" s="211"/>
      <c r="E69" s="211">
        <v>10590.27</v>
      </c>
      <c r="F69" s="211"/>
      <c r="G69" s="211">
        <v>15873.6</v>
      </c>
      <c r="H69" s="211">
        <v>285</v>
      </c>
      <c r="I69" s="212"/>
      <c r="J69" s="190">
        <f t="shared" ref="J69:J76" si="22">SUM(C69:I69)</f>
        <v>36347.08</v>
      </c>
      <c r="K69" s="185"/>
    </row>
    <row r="70" spans="2:11">
      <c r="B70" s="100">
        <f t="shared" si="21"/>
        <v>0</v>
      </c>
      <c r="C70" s="213"/>
      <c r="D70" s="214"/>
      <c r="E70" s="214"/>
      <c r="F70" s="214"/>
      <c r="G70" s="214"/>
      <c r="H70" s="214"/>
      <c r="I70" s="215"/>
      <c r="J70" s="196">
        <f t="shared" si="22"/>
        <v>0</v>
      </c>
      <c r="K70" s="185"/>
    </row>
    <row r="71" spans="2:11">
      <c r="B71" s="100" t="str">
        <f t="shared" si="21"/>
        <v>Produce Alliance</v>
      </c>
      <c r="C71" s="213">
        <v>756.63</v>
      </c>
      <c r="D71" s="214"/>
      <c r="E71" s="214">
        <v>8870.7199999999993</v>
      </c>
      <c r="F71" s="214"/>
      <c r="G71" s="214">
        <v>1083.72</v>
      </c>
      <c r="H71" s="214"/>
      <c r="I71" s="215"/>
      <c r="J71" s="196">
        <f t="shared" si="22"/>
        <v>10711.069999999998</v>
      </c>
      <c r="K71" s="185"/>
    </row>
    <row r="72" spans="2:11">
      <c r="B72" s="100" t="str">
        <f t="shared" si="21"/>
        <v>Selected Food</v>
      </c>
      <c r="C72" s="213"/>
      <c r="D72" s="214"/>
      <c r="E72" s="214"/>
      <c r="F72" s="214">
        <v>6240</v>
      </c>
      <c r="G72" s="214"/>
      <c r="H72" s="214"/>
      <c r="I72" s="215"/>
      <c r="J72" s="196">
        <f t="shared" si="22"/>
        <v>6240</v>
      </c>
      <c r="K72" s="185"/>
    </row>
    <row r="73" spans="2:11">
      <c r="B73" s="100" t="str">
        <f t="shared" si="21"/>
        <v xml:space="preserve"> </v>
      </c>
      <c r="C73" s="213"/>
      <c r="D73" s="214"/>
      <c r="E73" s="214"/>
      <c r="F73" s="214">
        <v>6676.78</v>
      </c>
      <c r="G73" s="214"/>
      <c r="H73" s="214"/>
      <c r="I73" s="215"/>
      <c r="J73" s="196">
        <f t="shared" si="22"/>
        <v>6676.78</v>
      </c>
      <c r="K73" s="185"/>
    </row>
    <row r="74" spans="2:11">
      <c r="B74" s="100" t="str">
        <f t="shared" si="21"/>
        <v xml:space="preserve"> </v>
      </c>
      <c r="C74" s="213"/>
      <c r="D74" s="214"/>
      <c r="E74" s="214"/>
      <c r="F74" s="214"/>
      <c r="G74" s="214"/>
      <c r="H74" s="214"/>
      <c r="I74" s="215"/>
      <c r="J74" s="196">
        <f t="shared" si="22"/>
        <v>0</v>
      </c>
      <c r="K74" s="185"/>
    </row>
    <row r="75" spans="2:11">
      <c r="B75" s="100" t="str">
        <f t="shared" si="21"/>
        <v>Petty Cash</v>
      </c>
      <c r="C75" s="213"/>
      <c r="D75" s="214"/>
      <c r="E75" s="214"/>
      <c r="F75" s="214"/>
      <c r="G75" s="214"/>
      <c r="H75" s="214"/>
      <c r="I75" s="215"/>
      <c r="J75" s="196">
        <f t="shared" si="22"/>
        <v>0</v>
      </c>
      <c r="K75" s="185"/>
    </row>
    <row r="76" spans="2:11" ht="21" thickBot="1">
      <c r="B76" s="91" t="str">
        <f t="shared" si="21"/>
        <v>CREDITS (Negative)</v>
      </c>
      <c r="C76" s="98"/>
      <c r="D76" s="5"/>
      <c r="E76" s="5"/>
      <c r="F76" s="5"/>
      <c r="G76" s="5"/>
      <c r="H76" s="5"/>
      <c r="I76" s="102"/>
      <c r="J76" s="103">
        <f t="shared" si="22"/>
        <v>0</v>
      </c>
      <c r="K76" s="22" t="s">
        <v>276</v>
      </c>
    </row>
    <row r="77" spans="2:11" ht="13.5" thickBot="1">
      <c r="B77" s="19" t="s">
        <v>265</v>
      </c>
      <c r="C77" s="208">
        <f t="shared" ref="C77:I77" si="23">SUM(C69:C76)</f>
        <v>10354.839999999998</v>
      </c>
      <c r="D77" s="208">
        <f t="shared" si="23"/>
        <v>0</v>
      </c>
      <c r="E77" s="208">
        <f t="shared" si="23"/>
        <v>19460.989999999998</v>
      </c>
      <c r="F77" s="208">
        <f t="shared" si="23"/>
        <v>12916.779999999999</v>
      </c>
      <c r="G77" s="208">
        <f t="shared" si="23"/>
        <v>16957.32</v>
      </c>
      <c r="H77" s="208">
        <f t="shared" si="23"/>
        <v>285</v>
      </c>
      <c r="I77" s="208">
        <f t="shared" si="23"/>
        <v>0</v>
      </c>
      <c r="J77" s="209">
        <f>SUM(J69:J76)</f>
        <v>59974.93</v>
      </c>
      <c r="K77" s="185"/>
    </row>
    <row r="79" spans="2:11">
      <c r="B79" s="186"/>
      <c r="C79" s="186"/>
      <c r="D79" s="186"/>
      <c r="E79" s="186"/>
      <c r="F79" s="186"/>
      <c r="G79" s="186"/>
      <c r="H79" s="186"/>
      <c r="I79" s="186"/>
      <c r="J79" s="186"/>
      <c r="K79" s="185"/>
    </row>
    <row r="81" spans="2:11" ht="13.5" thickBot="1">
      <c r="B81" s="10" t="s">
        <v>243</v>
      </c>
      <c r="C81" s="566">
        <f>K8</f>
        <v>45931</v>
      </c>
      <c r="D81" s="566"/>
      <c r="E81" s="566"/>
      <c r="F81" s="566"/>
      <c r="G81" s="567" t="s">
        <v>281</v>
      </c>
      <c r="H81" s="567"/>
      <c r="I81" s="567"/>
      <c r="J81" s="567"/>
      <c r="K81" s="185"/>
    </row>
    <row r="82" spans="2:11" ht="13.5" thickBot="1">
      <c r="B82" s="10"/>
      <c r="C82" s="94" t="s">
        <v>268</v>
      </c>
      <c r="D82" s="95" t="s">
        <v>269</v>
      </c>
      <c r="E82" s="95" t="s">
        <v>270</v>
      </c>
      <c r="F82" s="95" t="s">
        <v>271</v>
      </c>
      <c r="G82" s="95" t="s">
        <v>272</v>
      </c>
      <c r="H82" s="95" t="s">
        <v>273</v>
      </c>
      <c r="I82" s="96" t="s">
        <v>274</v>
      </c>
      <c r="J82" s="180"/>
      <c r="K82" s="185"/>
    </row>
    <row r="83" spans="2:11" ht="13.5" thickBot="1">
      <c r="B83" s="19" t="str">
        <f>B8</f>
        <v>SUPPLIERS</v>
      </c>
      <c r="C83" s="97">
        <f>I68+1</f>
        <v>28</v>
      </c>
      <c r="D83" s="93">
        <f t="shared" ref="D83:I83" si="24">C83+1</f>
        <v>29</v>
      </c>
      <c r="E83" s="93">
        <f t="shared" si="24"/>
        <v>30</v>
      </c>
      <c r="F83" s="93">
        <f t="shared" si="24"/>
        <v>31</v>
      </c>
      <c r="G83" s="93">
        <f t="shared" si="24"/>
        <v>32</v>
      </c>
      <c r="H83" s="93">
        <f t="shared" si="24"/>
        <v>33</v>
      </c>
      <c r="I83" s="101">
        <f t="shared" si="24"/>
        <v>34</v>
      </c>
      <c r="J83" s="81" t="s">
        <v>278</v>
      </c>
      <c r="K83" s="185"/>
    </row>
    <row r="84" spans="2:11">
      <c r="B84" s="99" t="str">
        <f t="shared" ref="B84:B91" si="25">B69</f>
        <v>Sysco</v>
      </c>
      <c r="C84" s="210">
        <v>17859.21</v>
      </c>
      <c r="D84" s="211"/>
      <c r="E84" s="211">
        <v>12261.6</v>
      </c>
      <c r="F84" s="211"/>
      <c r="G84" s="211">
        <v>8397.24</v>
      </c>
      <c r="H84" s="211"/>
      <c r="I84" s="212"/>
      <c r="J84" s="190">
        <f t="shared" ref="J84:J91" si="26">SUM(C84:I84)</f>
        <v>38518.049999999996</v>
      </c>
      <c r="K84" s="185"/>
    </row>
    <row r="85" spans="2:11">
      <c r="B85" s="100">
        <f t="shared" si="25"/>
        <v>0</v>
      </c>
      <c r="C85" s="213"/>
      <c r="D85" s="214"/>
      <c r="E85" s="214"/>
      <c r="F85" s="214"/>
      <c r="G85" s="214"/>
      <c r="H85" s="214"/>
      <c r="I85" s="215"/>
      <c r="J85" s="196">
        <f t="shared" si="26"/>
        <v>0</v>
      </c>
      <c r="K85" s="185"/>
    </row>
    <row r="86" spans="2:11">
      <c r="B86" s="100" t="str">
        <f t="shared" si="25"/>
        <v>Produce Alliance</v>
      </c>
      <c r="C86" s="213">
        <v>176</v>
      </c>
      <c r="D86" s="214"/>
      <c r="E86" s="214"/>
      <c r="F86" s="214"/>
      <c r="G86" s="214">
        <v>1476.97</v>
      </c>
      <c r="H86" s="214"/>
      <c r="I86" s="215"/>
      <c r="J86" s="196">
        <f t="shared" si="26"/>
        <v>1652.97</v>
      </c>
      <c r="K86" s="185"/>
    </row>
    <row r="87" spans="2:11">
      <c r="B87" s="100" t="str">
        <f t="shared" si="25"/>
        <v>Selected Food</v>
      </c>
      <c r="C87" s="213"/>
      <c r="D87" s="214"/>
      <c r="E87" s="214"/>
      <c r="F87" s="214">
        <v>6104.03</v>
      </c>
      <c r="G87" s="214"/>
      <c r="H87" s="214">
        <v>1015.08</v>
      </c>
      <c r="I87" s="215"/>
      <c r="J87" s="196">
        <f t="shared" si="26"/>
        <v>7119.11</v>
      </c>
      <c r="K87" s="185"/>
    </row>
    <row r="88" spans="2:11">
      <c r="B88" s="100" t="str">
        <f t="shared" si="25"/>
        <v xml:space="preserve"> </v>
      </c>
      <c r="C88" s="213"/>
      <c r="D88" s="214"/>
      <c r="E88" s="214"/>
      <c r="F88" s="214"/>
      <c r="G88" s="214"/>
      <c r="H88" s="214">
        <v>1122.9000000000001</v>
      </c>
      <c r="I88" s="215"/>
      <c r="J88" s="196">
        <f t="shared" si="26"/>
        <v>1122.9000000000001</v>
      </c>
      <c r="K88" s="185"/>
    </row>
    <row r="89" spans="2:11">
      <c r="B89" s="100" t="str">
        <f t="shared" si="25"/>
        <v xml:space="preserve"> </v>
      </c>
      <c r="C89" s="213"/>
      <c r="D89" s="214"/>
      <c r="E89" s="214"/>
      <c r="F89" s="214"/>
      <c r="G89" s="214"/>
      <c r="H89" s="214"/>
      <c r="I89" s="215"/>
      <c r="J89" s="196">
        <f t="shared" si="26"/>
        <v>0</v>
      </c>
      <c r="K89" s="185"/>
    </row>
    <row r="90" spans="2:11">
      <c r="B90" s="100" t="str">
        <f t="shared" si="25"/>
        <v>Petty Cash</v>
      </c>
      <c r="C90" s="213"/>
      <c r="D90" s="214"/>
      <c r="E90" s="214"/>
      <c r="F90" s="214"/>
      <c r="G90" s="214"/>
      <c r="H90" s="214"/>
      <c r="I90" s="215"/>
      <c r="J90" s="196">
        <f t="shared" si="26"/>
        <v>0</v>
      </c>
      <c r="K90" s="185"/>
    </row>
    <row r="91" spans="2:11" ht="21" thickBot="1">
      <c r="B91" s="91" t="str">
        <f t="shared" si="25"/>
        <v>CREDITS (Negative)</v>
      </c>
      <c r="C91" s="98"/>
      <c r="D91" s="5"/>
      <c r="E91" s="5"/>
      <c r="F91" s="5"/>
      <c r="G91" s="5"/>
      <c r="H91" s="5"/>
      <c r="I91" s="102"/>
      <c r="J91" s="103">
        <f t="shared" si="26"/>
        <v>0</v>
      </c>
      <c r="K91" s="22" t="s">
        <v>276</v>
      </c>
    </row>
    <row r="92" spans="2:11" ht="13.5" thickBot="1">
      <c r="B92" s="19" t="s">
        <v>265</v>
      </c>
      <c r="C92" s="208">
        <f t="shared" ref="C92:I92" si="27">SUM(C84:C91)</f>
        <v>18035.21</v>
      </c>
      <c r="D92" s="208">
        <f t="shared" si="27"/>
        <v>0</v>
      </c>
      <c r="E92" s="208">
        <f t="shared" si="27"/>
        <v>12261.6</v>
      </c>
      <c r="F92" s="208">
        <f t="shared" si="27"/>
        <v>6104.03</v>
      </c>
      <c r="G92" s="208">
        <f t="shared" si="27"/>
        <v>9874.2099999999991</v>
      </c>
      <c r="H92" s="208">
        <f t="shared" si="27"/>
        <v>2137.98</v>
      </c>
      <c r="I92" s="208">
        <f t="shared" si="27"/>
        <v>0</v>
      </c>
      <c r="J92" s="209">
        <f>SUM(J84:J91)</f>
        <v>48413.03</v>
      </c>
      <c r="K92" s="185"/>
    </row>
    <row r="94" spans="2:11">
      <c r="B94" s="186"/>
      <c r="C94" s="186"/>
      <c r="D94" s="186"/>
      <c r="E94" s="186"/>
      <c r="F94" s="186"/>
      <c r="G94" s="186"/>
      <c r="H94" s="186"/>
      <c r="I94" s="186"/>
      <c r="J94" s="186"/>
      <c r="K94" s="185"/>
    </row>
    <row r="96" spans="2:11" ht="13.5" thickBot="1">
      <c r="B96" s="10" t="s">
        <v>243</v>
      </c>
      <c r="C96" s="566">
        <f>K8</f>
        <v>45931</v>
      </c>
      <c r="D96" s="566"/>
      <c r="E96" s="566"/>
      <c r="F96" s="566"/>
      <c r="G96" s="567" t="s">
        <v>282</v>
      </c>
      <c r="H96" s="567"/>
      <c r="I96" s="567"/>
      <c r="J96" s="567"/>
      <c r="K96" s="185"/>
    </row>
    <row r="97" spans="2:11" ht="13.5" thickBot="1">
      <c r="B97" s="10"/>
      <c r="C97" s="94" t="s">
        <v>268</v>
      </c>
      <c r="D97" s="95" t="s">
        <v>269</v>
      </c>
      <c r="E97" s="95" t="s">
        <v>270</v>
      </c>
      <c r="F97" s="95" t="s">
        <v>271</v>
      </c>
      <c r="G97" s="95" t="s">
        <v>272</v>
      </c>
      <c r="H97" s="95" t="s">
        <v>273</v>
      </c>
      <c r="I97" s="96" t="s">
        <v>274</v>
      </c>
      <c r="J97" s="180"/>
      <c r="K97" s="185"/>
    </row>
    <row r="98" spans="2:11" ht="13.5" thickBot="1">
      <c r="B98" s="19" t="str">
        <f>B8</f>
        <v>SUPPLIERS</v>
      </c>
      <c r="C98" s="97">
        <f>I83+1</f>
        <v>35</v>
      </c>
      <c r="D98" s="93">
        <f t="shared" ref="D98" si="28">C98+1</f>
        <v>36</v>
      </c>
      <c r="E98" s="93">
        <f t="shared" ref="E98" si="29">D98+1</f>
        <v>37</v>
      </c>
      <c r="F98" s="93">
        <f t="shared" ref="F98" si="30">E98+1</f>
        <v>38</v>
      </c>
      <c r="G98" s="93">
        <f t="shared" ref="G98" si="31">F98+1</f>
        <v>39</v>
      </c>
      <c r="H98" s="93">
        <f t="shared" ref="H98" si="32">G98+1</f>
        <v>40</v>
      </c>
      <c r="I98" s="101">
        <f t="shared" ref="I98" si="33">H98+1</f>
        <v>41</v>
      </c>
      <c r="J98" s="81" t="s">
        <v>278</v>
      </c>
      <c r="K98" s="185"/>
    </row>
    <row r="99" spans="2:11">
      <c r="B99" s="99" t="str">
        <f t="shared" ref="B99:B106" si="34">B84</f>
        <v>Sysco</v>
      </c>
      <c r="C99" s="210"/>
      <c r="D99" s="211"/>
      <c r="E99" s="211"/>
      <c r="F99" s="211"/>
      <c r="G99" s="211"/>
      <c r="H99" s="211"/>
      <c r="I99" s="212"/>
      <c r="J99" s="190">
        <f t="shared" ref="J99:J106" si="35">SUM(C99:I99)</f>
        <v>0</v>
      </c>
      <c r="K99" s="185"/>
    </row>
    <row r="100" spans="2:11">
      <c r="B100" s="100">
        <f t="shared" si="34"/>
        <v>0</v>
      </c>
      <c r="C100" s="213"/>
      <c r="D100" s="214"/>
      <c r="E100" s="214"/>
      <c r="F100" s="214"/>
      <c r="G100" s="214"/>
      <c r="H100" s="214"/>
      <c r="I100" s="215"/>
      <c r="J100" s="196">
        <f t="shared" si="35"/>
        <v>0</v>
      </c>
      <c r="K100" s="185"/>
    </row>
    <row r="101" spans="2:11">
      <c r="B101" s="100" t="str">
        <f t="shared" si="34"/>
        <v>Produce Alliance</v>
      </c>
      <c r="C101" s="213"/>
      <c r="D101" s="214"/>
      <c r="E101" s="214"/>
      <c r="F101" s="214"/>
      <c r="G101" s="214"/>
      <c r="H101" s="214"/>
      <c r="I101" s="215"/>
      <c r="J101" s="196">
        <f t="shared" si="35"/>
        <v>0</v>
      </c>
      <c r="K101" s="185"/>
    </row>
    <row r="102" spans="2:11">
      <c r="B102" s="100" t="str">
        <f t="shared" si="34"/>
        <v>Selected Food</v>
      </c>
      <c r="C102" s="213"/>
      <c r="D102" s="214"/>
      <c r="E102" s="214"/>
      <c r="F102" s="214"/>
      <c r="G102" s="214"/>
      <c r="H102" s="214"/>
      <c r="I102" s="215"/>
      <c r="J102" s="196">
        <f t="shared" si="35"/>
        <v>0</v>
      </c>
      <c r="K102" s="185"/>
    </row>
    <row r="103" spans="2:11">
      <c r="B103" s="100" t="str">
        <f t="shared" si="34"/>
        <v xml:space="preserve"> </v>
      </c>
      <c r="C103" s="213"/>
      <c r="D103" s="214"/>
      <c r="E103" s="214"/>
      <c r="F103" s="214"/>
      <c r="G103" s="214"/>
      <c r="H103" s="214"/>
      <c r="I103" s="215"/>
      <c r="J103" s="196">
        <f t="shared" si="35"/>
        <v>0</v>
      </c>
      <c r="K103" s="185"/>
    </row>
    <row r="104" spans="2:11">
      <c r="B104" s="100" t="str">
        <f t="shared" si="34"/>
        <v xml:space="preserve"> </v>
      </c>
      <c r="C104" s="213"/>
      <c r="D104" s="214"/>
      <c r="E104" s="214"/>
      <c r="F104" s="214"/>
      <c r="G104" s="214"/>
      <c r="H104" s="214"/>
      <c r="I104" s="215"/>
      <c r="J104" s="196">
        <f t="shared" si="35"/>
        <v>0</v>
      </c>
      <c r="K104" s="185"/>
    </row>
    <row r="105" spans="2:11">
      <c r="B105" s="100" t="str">
        <f t="shared" si="34"/>
        <v>Petty Cash</v>
      </c>
      <c r="C105" s="213"/>
      <c r="D105" s="214"/>
      <c r="E105" s="214"/>
      <c r="F105" s="214"/>
      <c r="G105" s="214"/>
      <c r="H105" s="214"/>
      <c r="I105" s="215"/>
      <c r="J105" s="196">
        <f t="shared" si="35"/>
        <v>0</v>
      </c>
      <c r="K105" s="185"/>
    </row>
    <row r="106" spans="2:11" ht="21" thickBot="1">
      <c r="B106" s="91" t="str">
        <f t="shared" si="34"/>
        <v>CREDITS (Negative)</v>
      </c>
      <c r="C106" s="98"/>
      <c r="D106" s="5"/>
      <c r="E106" s="5"/>
      <c r="F106" s="5"/>
      <c r="G106" s="5"/>
      <c r="H106" s="5"/>
      <c r="I106" s="102"/>
      <c r="J106" s="103">
        <f t="shared" si="35"/>
        <v>0</v>
      </c>
      <c r="K106" s="22" t="s">
        <v>276</v>
      </c>
    </row>
    <row r="107" spans="2:11" ht="13.5" thickBot="1">
      <c r="B107" s="19" t="s">
        <v>265</v>
      </c>
      <c r="C107" s="208">
        <f>SUM(C99:C106)</f>
        <v>0</v>
      </c>
      <c r="D107" s="208">
        <f t="shared" ref="D107:I107" si="36">SUM(D99:D106)</f>
        <v>0</v>
      </c>
      <c r="E107" s="208">
        <f>SUM(E99:E106)</f>
        <v>0</v>
      </c>
      <c r="F107" s="208">
        <f t="shared" si="36"/>
        <v>0</v>
      </c>
      <c r="G107" s="208">
        <f t="shared" si="36"/>
        <v>0</v>
      </c>
      <c r="H107" s="208">
        <f t="shared" si="36"/>
        <v>0</v>
      </c>
      <c r="I107" s="208">
        <f t="shared" si="36"/>
        <v>0</v>
      </c>
      <c r="J107" s="209">
        <f>SUM(J99:J106)</f>
        <v>0</v>
      </c>
      <c r="K107" s="185"/>
    </row>
    <row r="109" spans="2:11">
      <c r="B109" s="186"/>
      <c r="C109" s="186"/>
      <c r="D109" s="186"/>
      <c r="E109" s="186"/>
      <c r="F109" s="186"/>
      <c r="G109" s="186"/>
      <c r="H109" s="186"/>
      <c r="I109" s="186"/>
      <c r="J109" s="186"/>
      <c r="K109" s="185"/>
    </row>
  </sheetData>
  <sheetProtection algorithmName="SHA-512" hashValue="3gCaMoWy90vQwDsap+GPmyLBaR2tWIqr1V3SpJE78bjAQ6DJrDlMJfj3QG85zYjTmk93quR+VJNOSFn2wj5Qyg==" saltValue="/WaFDMfnWFobwRVHYleaNw==" spinCount="100000" sheet="1" objects="1" scenarios="1" formatCells="0" selectLockedCells="1"/>
  <mergeCells count="15">
    <mergeCell ref="C96:F96"/>
    <mergeCell ref="G96:J96"/>
    <mergeCell ref="G2:H3"/>
    <mergeCell ref="C2:F3"/>
    <mergeCell ref="C66:F66"/>
    <mergeCell ref="G66:J66"/>
    <mergeCell ref="C81:F81"/>
    <mergeCell ref="G81:J81"/>
    <mergeCell ref="C7:H7"/>
    <mergeCell ref="C21:F21"/>
    <mergeCell ref="G21:J21"/>
    <mergeCell ref="C36:F36"/>
    <mergeCell ref="G36:J36"/>
    <mergeCell ref="C51:F51"/>
    <mergeCell ref="G51:J51"/>
  </mergeCells>
  <phoneticPr fontId="14" type="noConversion"/>
  <conditionalFormatting sqref="K17">
    <cfRule type="cellIs" dxfId="20" priority="1" operator="greaterThan">
      <formula>0.31</formula>
    </cfRule>
  </conditionalFormatting>
  <pageMargins left="0.7" right="0.7" top="0.75" bottom="0.75" header="0.3" footer="0.3"/>
  <pageSetup scale="70" orientation="portrait" horizontalDpi="300" verticalDpi="30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AW65"/>
  <sheetViews>
    <sheetView showGridLines="0" topLeftCell="A49" zoomScale="60" zoomScaleNormal="60" workbookViewId="0">
      <selection activeCell="E64" sqref="E64"/>
    </sheetView>
  </sheetViews>
  <sheetFormatPr defaultColWidth="9.28515625" defaultRowHeight="15"/>
  <cols>
    <col min="1" max="1" width="5.28515625" style="304" customWidth="1"/>
    <col min="2" max="2" width="22" style="305" customWidth="1"/>
    <col min="3" max="3" width="22.7109375" style="304" customWidth="1"/>
    <col min="4" max="4" width="25.140625" style="304" customWidth="1"/>
    <col min="5" max="5" width="19.42578125" style="304" customWidth="1"/>
    <col min="6" max="6" width="22.5703125" style="304" customWidth="1"/>
    <col min="7" max="7" width="23.42578125" style="304" customWidth="1"/>
    <col min="8" max="8" width="24" style="304" customWidth="1"/>
    <col min="9" max="9" width="28.28515625" style="304" customWidth="1"/>
    <col min="10" max="10" width="13.5703125" style="304" customWidth="1"/>
    <col min="11" max="11" width="14.85546875" style="304" customWidth="1"/>
    <col min="12" max="12" width="19.7109375" style="304" customWidth="1"/>
    <col min="13" max="14" width="13.42578125" style="304" customWidth="1"/>
    <col min="15" max="15" width="14" style="304" customWidth="1"/>
    <col min="16" max="16" width="14.42578125" style="304" customWidth="1"/>
    <col min="17" max="17" width="20.5703125" style="304" customWidth="1"/>
    <col min="18" max="49" width="9.85546875" style="304" customWidth="1"/>
    <col min="50" max="16384" width="9.28515625" style="304"/>
  </cols>
  <sheetData>
    <row r="1" spans="1:20" ht="51.6" customHeight="1" thickTop="1" thickBot="1">
      <c r="A1" s="377"/>
      <c r="B1" s="378" t="s">
        <v>452</v>
      </c>
      <c r="C1" s="379"/>
      <c r="D1" s="379"/>
      <c r="E1" s="379"/>
      <c r="F1" s="379"/>
      <c r="G1" s="379"/>
      <c r="H1" s="380" t="s">
        <v>453</v>
      </c>
      <c r="I1" s="581" t="str">
        <f>'Inv Totals'!B3</f>
        <v>Texas de Brazil - Tokyo JP</v>
      </c>
      <c r="J1" s="582"/>
      <c r="K1" s="583"/>
      <c r="L1" s="381"/>
      <c r="M1" s="379"/>
      <c r="N1" s="379"/>
      <c r="O1" s="382" t="s">
        <v>454</v>
      </c>
      <c r="P1" s="584">
        <f>'Inv Totals'!B1</f>
        <v>45931</v>
      </c>
      <c r="Q1" s="585"/>
      <c r="R1" s="383"/>
      <c r="S1" s="383"/>
      <c r="T1" s="384" t="str">
        <f>""</f>
        <v/>
      </c>
    </row>
    <row r="2" spans="1:20" s="305" customFormat="1" ht="72.75" customHeight="1" thickTop="1" thickBot="1">
      <c r="A2" s="385"/>
      <c r="B2" s="386" t="s">
        <v>455</v>
      </c>
      <c r="C2" s="387" t="s">
        <v>456</v>
      </c>
      <c r="D2" s="388" t="s">
        <v>38</v>
      </c>
      <c r="E2" s="389" t="s">
        <v>36</v>
      </c>
      <c r="F2" s="390" t="s">
        <v>457</v>
      </c>
      <c r="G2" s="389" t="s">
        <v>402</v>
      </c>
      <c r="H2" s="390" t="s">
        <v>458</v>
      </c>
      <c r="I2" s="391" t="s">
        <v>459</v>
      </c>
      <c r="J2" s="391" t="s">
        <v>53</v>
      </c>
      <c r="K2" s="392" t="s">
        <v>460</v>
      </c>
      <c r="L2" s="393" t="s">
        <v>45</v>
      </c>
      <c r="M2" s="393" t="s">
        <v>46</v>
      </c>
      <c r="N2" s="394" t="s">
        <v>461</v>
      </c>
      <c r="O2" s="394" t="s">
        <v>43</v>
      </c>
      <c r="P2" s="395" t="s">
        <v>462</v>
      </c>
      <c r="Q2" s="499" t="s">
        <v>463</v>
      </c>
      <c r="R2" s="396"/>
      <c r="S2" s="396"/>
    </row>
    <row r="3" spans="1:20" ht="24" thickBot="1">
      <c r="A3" s="319"/>
      <c r="B3" s="397" t="s">
        <v>464</v>
      </c>
      <c r="C3" s="350"/>
      <c r="D3" s="350"/>
      <c r="E3" s="350"/>
      <c r="F3" s="350"/>
      <c r="G3" s="350"/>
      <c r="H3" s="350"/>
      <c r="I3" s="350"/>
      <c r="J3" s="350"/>
      <c r="K3" s="350"/>
      <c r="L3" s="350"/>
      <c r="M3" s="350"/>
      <c r="N3" s="350"/>
      <c r="O3" s="350"/>
      <c r="P3" s="350"/>
      <c r="Q3" s="398"/>
    </row>
    <row r="4" spans="1:20" s="314" customFormat="1" ht="21" customHeight="1">
      <c r="A4" s="316"/>
      <c r="B4" s="374">
        <v>1</v>
      </c>
      <c r="C4" s="281"/>
      <c r="D4" s="282"/>
      <c r="E4" s="282"/>
      <c r="F4" s="282"/>
      <c r="G4" s="282"/>
      <c r="H4" s="282"/>
      <c r="I4" s="282"/>
      <c r="J4" s="282"/>
      <c r="K4" s="282"/>
      <c r="L4" s="282"/>
      <c r="M4" s="282"/>
      <c r="N4" s="282"/>
      <c r="O4" s="282"/>
      <c r="P4" s="282"/>
      <c r="Q4" s="283"/>
      <c r="R4" s="373"/>
      <c r="S4" s="373"/>
    </row>
    <row r="5" spans="1:20" s="314" customFormat="1" ht="21" customHeight="1">
      <c r="A5" s="316"/>
      <c r="B5" s="375">
        <v>2</v>
      </c>
      <c r="C5" s="284">
        <v>497</v>
      </c>
      <c r="D5" s="285"/>
      <c r="E5" s="285"/>
      <c r="F5" s="285"/>
      <c r="G5" s="285"/>
      <c r="H5" s="285">
        <v>60</v>
      </c>
      <c r="I5" s="285"/>
      <c r="J5" s="285"/>
      <c r="K5" s="285"/>
      <c r="L5" s="285"/>
      <c r="M5" s="285"/>
      <c r="N5" s="285"/>
      <c r="O5" s="285"/>
      <c r="P5" s="285"/>
      <c r="Q5" s="286"/>
      <c r="R5" s="373"/>
      <c r="S5" s="373"/>
    </row>
    <row r="6" spans="1:20" s="314" customFormat="1" ht="21" customHeight="1">
      <c r="A6" s="316"/>
      <c r="B6" s="375">
        <v>3</v>
      </c>
      <c r="C6" s="284">
        <v>413</v>
      </c>
      <c r="D6" s="285">
        <v>200</v>
      </c>
      <c r="E6" s="285"/>
      <c r="F6" s="285"/>
      <c r="G6" s="285">
        <v>463</v>
      </c>
      <c r="H6" s="285"/>
      <c r="I6" s="285">
        <v>31</v>
      </c>
      <c r="J6" s="285">
        <v>30</v>
      </c>
      <c r="K6" s="285">
        <v>75</v>
      </c>
      <c r="L6" s="285">
        <v>160</v>
      </c>
      <c r="M6" s="285">
        <v>85</v>
      </c>
      <c r="N6" s="285"/>
      <c r="O6" s="285"/>
      <c r="P6" s="285"/>
      <c r="Q6" s="286"/>
      <c r="R6" s="373"/>
      <c r="S6" s="373"/>
    </row>
    <row r="7" spans="1:20" s="314" customFormat="1" ht="21" customHeight="1">
      <c r="A7" s="316"/>
      <c r="B7" s="375">
        <v>4</v>
      </c>
      <c r="C7" s="284"/>
      <c r="D7" s="285"/>
      <c r="E7" s="285"/>
      <c r="F7" s="285"/>
      <c r="G7" s="285"/>
      <c r="H7" s="285"/>
      <c r="I7" s="285"/>
      <c r="J7" s="285"/>
      <c r="K7" s="285"/>
      <c r="L7" s="285"/>
      <c r="M7" s="285"/>
      <c r="N7" s="285"/>
      <c r="O7" s="285"/>
      <c r="P7" s="285"/>
      <c r="Q7" s="286"/>
      <c r="R7" s="373"/>
      <c r="S7" s="373"/>
    </row>
    <row r="8" spans="1:20" s="314" customFormat="1" ht="21" customHeight="1">
      <c r="A8" s="316"/>
      <c r="B8" s="375">
        <v>5</v>
      </c>
      <c r="C8" s="284">
        <v>332</v>
      </c>
      <c r="D8" s="285">
        <v>249</v>
      </c>
      <c r="E8" s="285">
        <v>497.7</v>
      </c>
      <c r="F8" s="285"/>
      <c r="G8" s="285"/>
      <c r="H8" s="285">
        <v>75</v>
      </c>
      <c r="I8" s="285"/>
      <c r="J8" s="285"/>
      <c r="K8" s="285">
        <v>75</v>
      </c>
      <c r="L8" s="285"/>
      <c r="M8" s="285"/>
      <c r="N8" s="285"/>
      <c r="O8" s="285"/>
      <c r="P8" s="285"/>
      <c r="Q8" s="286"/>
      <c r="R8" s="373"/>
      <c r="S8" s="373"/>
    </row>
    <row r="9" spans="1:20" s="314" customFormat="1" ht="21" customHeight="1">
      <c r="A9" s="316"/>
      <c r="B9" s="375">
        <v>6</v>
      </c>
      <c r="C9" s="284"/>
      <c r="D9" s="285"/>
      <c r="E9" s="285"/>
      <c r="F9" s="285"/>
      <c r="G9" s="285"/>
      <c r="H9" s="285"/>
      <c r="I9" s="285"/>
      <c r="J9" s="285"/>
      <c r="K9" s="285"/>
      <c r="L9" s="285"/>
      <c r="M9" s="285"/>
      <c r="N9" s="285"/>
      <c r="O9" s="285"/>
      <c r="P9" s="285"/>
      <c r="Q9" s="286"/>
      <c r="R9" s="373"/>
      <c r="S9" s="373"/>
    </row>
    <row r="10" spans="1:20" s="314" customFormat="1" ht="21" customHeight="1">
      <c r="A10" s="316"/>
      <c r="B10" s="375">
        <v>7</v>
      </c>
      <c r="C10" s="284">
        <v>503</v>
      </c>
      <c r="D10" s="285">
        <v>286</v>
      </c>
      <c r="E10" s="285"/>
      <c r="F10" s="285"/>
      <c r="G10" s="285"/>
      <c r="H10" s="285">
        <v>90</v>
      </c>
      <c r="I10" s="285">
        <v>129</v>
      </c>
      <c r="J10" s="285">
        <v>97</v>
      </c>
      <c r="K10" s="285">
        <v>100</v>
      </c>
      <c r="L10" s="285"/>
      <c r="M10" s="285">
        <v>173</v>
      </c>
      <c r="N10" s="285">
        <v>186</v>
      </c>
      <c r="O10" s="285">
        <v>125</v>
      </c>
      <c r="P10" s="285"/>
      <c r="Q10" s="286"/>
      <c r="R10" s="373"/>
      <c r="S10" s="373"/>
    </row>
    <row r="11" spans="1:20" s="314" customFormat="1" ht="21" customHeight="1">
      <c r="A11" s="316"/>
      <c r="B11" s="375">
        <v>8</v>
      </c>
      <c r="C11" s="284"/>
      <c r="D11" s="285"/>
      <c r="E11" s="285"/>
      <c r="F11" s="285">
        <v>313</v>
      </c>
      <c r="G11" s="285"/>
      <c r="H11" s="285"/>
      <c r="I11" s="285"/>
      <c r="J11" s="285"/>
      <c r="K11" s="285"/>
      <c r="L11" s="285"/>
      <c r="M11" s="285"/>
      <c r="N11" s="285"/>
      <c r="O11" s="285"/>
      <c r="P11" s="285"/>
      <c r="Q11" s="286"/>
      <c r="R11" s="373"/>
      <c r="S11" s="373"/>
    </row>
    <row r="12" spans="1:20" s="314" customFormat="1" ht="21" customHeight="1">
      <c r="A12" s="316"/>
      <c r="B12" s="375">
        <v>9</v>
      </c>
      <c r="C12" s="284">
        <v>515</v>
      </c>
      <c r="D12" s="285">
        <v>279</v>
      </c>
      <c r="E12" s="285"/>
      <c r="F12" s="285"/>
      <c r="G12" s="285"/>
      <c r="H12" s="285">
        <v>120</v>
      </c>
      <c r="I12" s="285"/>
      <c r="J12" s="285">
        <v>30</v>
      </c>
      <c r="K12" s="285">
        <v>60</v>
      </c>
      <c r="L12" s="285">
        <v>120</v>
      </c>
      <c r="M12" s="285">
        <v>86</v>
      </c>
      <c r="N12" s="285"/>
      <c r="O12" s="285"/>
      <c r="P12" s="285"/>
      <c r="Q12" s="286"/>
      <c r="R12" s="373"/>
      <c r="S12" s="373"/>
    </row>
    <row r="13" spans="1:20" s="314" customFormat="1" ht="21" customHeight="1">
      <c r="A13" s="316"/>
      <c r="B13" s="375">
        <v>10</v>
      </c>
      <c r="C13" s="284" t="s">
        <v>32</v>
      </c>
      <c r="D13" s="285"/>
      <c r="E13" s="285"/>
      <c r="F13" s="285"/>
      <c r="G13" s="285"/>
      <c r="H13" s="285"/>
      <c r="I13" s="285"/>
      <c r="J13" s="285"/>
      <c r="K13" s="285"/>
      <c r="L13" s="285"/>
      <c r="M13" s="285"/>
      <c r="N13" s="285"/>
      <c r="O13" s="285"/>
      <c r="P13" s="285"/>
      <c r="Q13" s="286"/>
      <c r="R13" s="373"/>
      <c r="S13" s="373"/>
    </row>
    <row r="14" spans="1:20" s="314" customFormat="1" ht="21" customHeight="1">
      <c r="A14" s="316"/>
      <c r="B14" s="375">
        <v>11</v>
      </c>
      <c r="C14" s="284"/>
      <c r="D14" s="285"/>
      <c r="E14" s="285"/>
      <c r="F14" s="285"/>
      <c r="G14" s="285"/>
      <c r="H14" s="285"/>
      <c r="I14" s="285"/>
      <c r="J14" s="285"/>
      <c r="K14" s="285"/>
      <c r="L14" s="285"/>
      <c r="M14" s="285"/>
      <c r="N14" s="285"/>
      <c r="O14" s="285"/>
      <c r="P14" s="285"/>
      <c r="Q14" s="286"/>
      <c r="R14" s="373"/>
      <c r="S14" s="373"/>
    </row>
    <row r="15" spans="1:20" s="314" customFormat="1" ht="21" customHeight="1">
      <c r="A15" s="316"/>
      <c r="B15" s="375">
        <v>12</v>
      </c>
      <c r="C15" s="284">
        <v>259</v>
      </c>
      <c r="D15" s="285">
        <v>337</v>
      </c>
      <c r="E15" s="285"/>
      <c r="F15" s="285"/>
      <c r="G15" s="285">
        <v>308</v>
      </c>
      <c r="H15" s="285">
        <v>120</v>
      </c>
      <c r="I15" s="285"/>
      <c r="J15" s="285">
        <v>62</v>
      </c>
      <c r="K15" s="285"/>
      <c r="L15" s="285"/>
      <c r="M15" s="285">
        <v>216</v>
      </c>
      <c r="N15" s="285">
        <v>184</v>
      </c>
      <c r="O15" s="285"/>
      <c r="P15" s="285"/>
      <c r="Q15" s="286"/>
      <c r="R15" s="373"/>
      <c r="S15" s="373"/>
    </row>
    <row r="16" spans="1:20" s="314" customFormat="1" ht="21" customHeight="1">
      <c r="A16" s="316"/>
      <c r="B16" s="375">
        <v>13</v>
      </c>
      <c r="C16" s="284"/>
      <c r="D16" s="285"/>
      <c r="E16" s="285"/>
      <c r="F16" s="285"/>
      <c r="G16" s="285"/>
      <c r="H16" s="285"/>
      <c r="I16" s="285"/>
      <c r="J16" s="285"/>
      <c r="K16" s="285"/>
      <c r="L16" s="285"/>
      <c r="M16" s="285"/>
      <c r="N16" s="285"/>
      <c r="O16" s="285"/>
      <c r="P16" s="285"/>
      <c r="Q16" s="286"/>
      <c r="R16" s="373"/>
      <c r="S16" s="373"/>
    </row>
    <row r="17" spans="1:19" s="314" customFormat="1" ht="21" customHeight="1">
      <c r="A17" s="316"/>
      <c r="B17" s="375">
        <v>14</v>
      </c>
      <c r="C17" s="284"/>
      <c r="D17" s="285"/>
      <c r="E17" s="285"/>
      <c r="F17" s="285"/>
      <c r="G17" s="285"/>
      <c r="H17" s="285"/>
      <c r="I17" s="285"/>
      <c r="J17" s="285">
        <v>97</v>
      </c>
      <c r="K17" s="285">
        <v>100</v>
      </c>
      <c r="L17" s="285">
        <v>120</v>
      </c>
      <c r="M17" s="285">
        <v>280</v>
      </c>
      <c r="N17" s="285">
        <v>244</v>
      </c>
      <c r="O17" s="285">
        <v>124</v>
      </c>
      <c r="P17" s="285"/>
      <c r="Q17" s="286"/>
      <c r="R17" s="373"/>
      <c r="S17" s="373"/>
    </row>
    <row r="18" spans="1:19" s="314" customFormat="1" ht="21" customHeight="1">
      <c r="A18" s="316"/>
      <c r="B18" s="375">
        <v>15</v>
      </c>
      <c r="C18" s="284"/>
      <c r="D18" s="285"/>
      <c r="E18" s="285"/>
      <c r="F18" s="285">
        <v>319</v>
      </c>
      <c r="G18" s="285"/>
      <c r="H18" s="285"/>
      <c r="I18" s="285"/>
      <c r="J18" s="285"/>
      <c r="K18" s="285"/>
      <c r="L18" s="285"/>
      <c r="M18" s="285"/>
      <c r="N18" s="285"/>
      <c r="O18" s="285"/>
      <c r="P18" s="285"/>
      <c r="Q18" s="286"/>
      <c r="R18" s="373"/>
      <c r="S18" s="373"/>
    </row>
    <row r="19" spans="1:19" s="314" customFormat="1" ht="21" customHeight="1">
      <c r="A19" s="316"/>
      <c r="B19" s="375">
        <v>16</v>
      </c>
      <c r="C19" s="284">
        <v>698</v>
      </c>
      <c r="D19" s="285">
        <v>283</v>
      </c>
      <c r="E19" s="285">
        <v>235</v>
      </c>
      <c r="F19" s="285"/>
      <c r="G19" s="285">
        <v>239</v>
      </c>
      <c r="H19" s="285">
        <v>60</v>
      </c>
      <c r="I19" s="285">
        <v>63</v>
      </c>
      <c r="J19" s="285"/>
      <c r="K19" s="285">
        <v>125</v>
      </c>
      <c r="L19" s="285">
        <v>80</v>
      </c>
      <c r="M19" s="285">
        <v>108</v>
      </c>
      <c r="N19" s="285"/>
      <c r="O19" s="285">
        <v>168</v>
      </c>
      <c r="P19" s="285"/>
      <c r="Q19" s="286"/>
      <c r="R19" s="373"/>
      <c r="S19" s="373"/>
    </row>
    <row r="20" spans="1:19" s="314" customFormat="1" ht="21" customHeight="1">
      <c r="A20" s="316"/>
      <c r="B20" s="375">
        <v>17</v>
      </c>
      <c r="C20" s="284" t="s">
        <v>32</v>
      </c>
      <c r="D20" s="285"/>
      <c r="E20" s="285"/>
      <c r="F20" s="285"/>
      <c r="G20" s="285"/>
      <c r="H20" s="285"/>
      <c r="I20" s="285"/>
      <c r="J20" s="285"/>
      <c r="K20" s="285"/>
      <c r="L20" s="285"/>
      <c r="M20" s="285"/>
      <c r="N20" s="285"/>
      <c r="O20" s="285"/>
      <c r="P20" s="285"/>
      <c r="Q20" s="286"/>
      <c r="R20" s="373"/>
      <c r="S20" s="373"/>
    </row>
    <row r="21" spans="1:19" s="314" customFormat="1" ht="21" customHeight="1">
      <c r="A21" s="316"/>
      <c r="B21" s="375">
        <v>18</v>
      </c>
      <c r="C21" s="284"/>
      <c r="D21" s="285"/>
      <c r="E21" s="285"/>
      <c r="F21" s="285"/>
      <c r="G21" s="285"/>
      <c r="H21" s="285"/>
      <c r="I21" s="285"/>
      <c r="J21" s="285"/>
      <c r="K21" s="285"/>
      <c r="L21" s="285"/>
      <c r="M21" s="285"/>
      <c r="N21" s="285"/>
      <c r="O21" s="285"/>
      <c r="P21" s="285"/>
      <c r="Q21" s="286"/>
      <c r="R21" s="373"/>
      <c r="S21" s="373"/>
    </row>
    <row r="22" spans="1:19" s="314" customFormat="1" ht="21" customHeight="1">
      <c r="A22" s="316"/>
      <c r="B22" s="375">
        <v>19</v>
      </c>
      <c r="C22" s="284" t="s">
        <v>32</v>
      </c>
      <c r="D22" s="285">
        <v>384</v>
      </c>
      <c r="E22" s="285"/>
      <c r="F22" s="285"/>
      <c r="G22" s="285"/>
      <c r="H22" s="285"/>
      <c r="I22" s="285">
        <v>94</v>
      </c>
      <c r="J22" s="285">
        <v>71</v>
      </c>
      <c r="K22" s="285">
        <v>100</v>
      </c>
      <c r="L22" s="285"/>
      <c r="M22" s="285">
        <v>86</v>
      </c>
      <c r="N22" s="285">
        <v>94</v>
      </c>
      <c r="O22" s="285">
        <v>83</v>
      </c>
      <c r="P22" s="285"/>
      <c r="Q22" s="286"/>
      <c r="R22" s="373"/>
      <c r="S22" s="373"/>
    </row>
    <row r="23" spans="1:19" s="314" customFormat="1" ht="21" customHeight="1">
      <c r="A23" s="316"/>
      <c r="B23" s="375">
        <v>20</v>
      </c>
      <c r="C23" s="284" t="s">
        <v>32</v>
      </c>
      <c r="D23" s="285"/>
      <c r="E23" s="285"/>
      <c r="F23" s="285"/>
      <c r="G23" s="285"/>
      <c r="H23" s="285"/>
      <c r="I23" s="285"/>
      <c r="J23" s="285"/>
      <c r="K23" s="285"/>
      <c r="L23" s="285"/>
      <c r="M23" s="285"/>
      <c r="N23" s="285"/>
      <c r="O23" s="285"/>
      <c r="P23" s="285"/>
      <c r="Q23" s="286"/>
      <c r="R23" s="373"/>
      <c r="S23" s="373"/>
    </row>
    <row r="24" spans="1:19" s="314" customFormat="1" ht="21" customHeight="1">
      <c r="A24" s="316"/>
      <c r="B24" s="375">
        <v>21</v>
      </c>
      <c r="C24" s="284"/>
      <c r="D24" s="285">
        <v>232</v>
      </c>
      <c r="E24" s="285">
        <v>372</v>
      </c>
      <c r="F24" s="285"/>
      <c r="G24" s="285">
        <v>307</v>
      </c>
      <c r="H24" s="285">
        <v>60</v>
      </c>
      <c r="I24" s="285"/>
      <c r="J24" s="285">
        <v>97</v>
      </c>
      <c r="K24" s="285">
        <v>75</v>
      </c>
      <c r="L24" s="285">
        <v>80</v>
      </c>
      <c r="M24" s="285">
        <v>130</v>
      </c>
      <c r="N24" s="285"/>
      <c r="O24" s="285">
        <v>104</v>
      </c>
      <c r="P24" s="285"/>
      <c r="Q24" s="286"/>
      <c r="R24" s="373"/>
      <c r="S24" s="373"/>
    </row>
    <row r="25" spans="1:19" s="314" customFormat="1" ht="21" customHeight="1">
      <c r="A25" s="316"/>
      <c r="B25" s="375">
        <v>22</v>
      </c>
      <c r="C25" s="284">
        <v>328</v>
      </c>
      <c r="D25" s="285"/>
      <c r="E25" s="285"/>
      <c r="F25" s="285">
        <v>329</v>
      </c>
      <c r="G25" s="285"/>
      <c r="H25" s="285"/>
      <c r="I25" s="285"/>
      <c r="J25" s="285"/>
      <c r="K25" s="285"/>
      <c r="L25" s="285"/>
      <c r="M25" s="285"/>
      <c r="N25" s="285"/>
      <c r="O25" s="285"/>
      <c r="P25" s="285"/>
      <c r="Q25" s="286"/>
      <c r="R25" s="373"/>
      <c r="S25" s="373"/>
    </row>
    <row r="26" spans="1:19" s="314" customFormat="1" ht="21" customHeight="1">
      <c r="A26" s="316"/>
      <c r="B26" s="375">
        <v>23</v>
      </c>
      <c r="C26" s="284"/>
      <c r="D26" s="285">
        <v>168</v>
      </c>
      <c r="E26" s="285"/>
      <c r="F26" s="285"/>
      <c r="G26" s="285">
        <v>240</v>
      </c>
      <c r="H26" s="285">
        <v>60</v>
      </c>
      <c r="I26" s="285">
        <v>192</v>
      </c>
      <c r="J26" s="285">
        <v>33</v>
      </c>
      <c r="K26" s="285"/>
      <c r="L26" s="285">
        <v>80</v>
      </c>
      <c r="M26" s="285">
        <v>130</v>
      </c>
      <c r="N26" s="285"/>
      <c r="O26" s="285"/>
      <c r="P26" s="285"/>
      <c r="Q26" s="286"/>
      <c r="R26" s="373"/>
      <c r="S26" s="373"/>
    </row>
    <row r="27" spans="1:19" s="314" customFormat="1" ht="21" customHeight="1">
      <c r="A27" s="316"/>
      <c r="B27" s="375">
        <v>24</v>
      </c>
      <c r="C27" s="284"/>
      <c r="D27" s="285"/>
      <c r="E27" s="285"/>
      <c r="F27" s="285"/>
      <c r="G27" s="285"/>
      <c r="H27" s="285"/>
      <c r="I27" s="285"/>
      <c r="J27" s="285"/>
      <c r="K27" s="285">
        <v>75</v>
      </c>
      <c r="L27" s="285"/>
      <c r="M27" s="285"/>
      <c r="N27" s="285"/>
      <c r="O27" s="285"/>
      <c r="P27" s="285"/>
      <c r="Q27" s="286"/>
      <c r="R27" s="373"/>
      <c r="S27" s="373"/>
    </row>
    <row r="28" spans="1:19" s="314" customFormat="1" ht="21" customHeight="1">
      <c r="A28" s="316"/>
      <c r="B28" s="375">
        <v>25</v>
      </c>
      <c r="C28" s="284"/>
      <c r="D28" s="285"/>
      <c r="E28" s="285"/>
      <c r="F28" s="285"/>
      <c r="G28" s="285"/>
      <c r="H28" s="285"/>
      <c r="I28" s="285"/>
      <c r="J28" s="285"/>
      <c r="K28" s="285"/>
      <c r="L28" s="285"/>
      <c r="M28" s="285"/>
      <c r="N28" s="285"/>
      <c r="O28" s="285"/>
      <c r="P28" s="285"/>
      <c r="Q28" s="286"/>
      <c r="R28" s="373"/>
      <c r="S28" s="373"/>
    </row>
    <row r="29" spans="1:19" s="314" customFormat="1" ht="21" customHeight="1">
      <c r="A29" s="316"/>
      <c r="B29" s="375">
        <v>26</v>
      </c>
      <c r="C29" s="284">
        <v>631</v>
      </c>
      <c r="D29" s="285">
        <v>284</v>
      </c>
      <c r="E29" s="285">
        <v>170</v>
      </c>
      <c r="F29" s="285"/>
      <c r="G29" s="285">
        <v>325</v>
      </c>
      <c r="H29" s="285">
        <v>60</v>
      </c>
      <c r="I29" s="285"/>
      <c r="J29" s="285">
        <v>68</v>
      </c>
      <c r="K29" s="285">
        <v>150</v>
      </c>
      <c r="L29" s="285">
        <v>120</v>
      </c>
      <c r="M29" s="285">
        <v>130</v>
      </c>
      <c r="N29" s="285">
        <v>122</v>
      </c>
      <c r="O29" s="285">
        <v>126</v>
      </c>
      <c r="P29" s="285"/>
      <c r="Q29" s="286"/>
      <c r="R29" s="373"/>
      <c r="S29" s="373"/>
    </row>
    <row r="30" spans="1:19" s="314" customFormat="1" ht="21" customHeight="1">
      <c r="A30" s="316"/>
      <c r="B30" s="375">
        <v>27</v>
      </c>
      <c r="C30" s="284"/>
      <c r="D30" s="285"/>
      <c r="E30" s="285"/>
      <c r="F30" s="285"/>
      <c r="G30" s="285"/>
      <c r="H30" s="285"/>
      <c r="I30" s="285"/>
      <c r="J30" s="285"/>
      <c r="K30" s="285"/>
      <c r="L30" s="285"/>
      <c r="M30" s="285"/>
      <c r="N30" s="285"/>
      <c r="O30" s="285"/>
      <c r="P30" s="285"/>
      <c r="Q30" s="286"/>
      <c r="R30" s="373"/>
      <c r="S30" s="373"/>
    </row>
    <row r="31" spans="1:19" s="314" customFormat="1" ht="21" customHeight="1">
      <c r="A31" s="316"/>
      <c r="B31" s="375">
        <v>28</v>
      </c>
      <c r="C31" s="284">
        <v>345</v>
      </c>
      <c r="D31" s="285">
        <v>291</v>
      </c>
      <c r="E31" s="285">
        <v>118</v>
      </c>
      <c r="F31" s="285"/>
      <c r="G31" s="285">
        <v>330</v>
      </c>
      <c r="H31" s="285">
        <v>60</v>
      </c>
      <c r="I31" s="285"/>
      <c r="J31" s="285">
        <v>66</v>
      </c>
      <c r="K31" s="285">
        <v>150</v>
      </c>
      <c r="L31" s="285">
        <v>120</v>
      </c>
      <c r="M31" s="285">
        <v>173</v>
      </c>
      <c r="N31" s="285">
        <v>27</v>
      </c>
      <c r="O31" s="285"/>
      <c r="P31" s="285"/>
      <c r="Q31" s="286"/>
      <c r="R31" s="373"/>
      <c r="S31" s="373"/>
    </row>
    <row r="32" spans="1:19" s="314" customFormat="1" ht="21" customHeight="1">
      <c r="A32" s="316"/>
      <c r="B32" s="375">
        <v>29</v>
      </c>
      <c r="C32" s="284">
        <v>298</v>
      </c>
      <c r="D32" s="285"/>
      <c r="E32" s="285"/>
      <c r="F32" s="285">
        <v>313</v>
      </c>
      <c r="G32" s="285"/>
      <c r="H32" s="285"/>
      <c r="I32" s="285"/>
      <c r="J32" s="285"/>
      <c r="K32" s="285"/>
      <c r="L32" s="285"/>
      <c r="M32" s="285"/>
      <c r="N32" s="285"/>
      <c r="O32" s="285"/>
      <c r="P32" s="285"/>
      <c r="Q32" s="286"/>
      <c r="R32" s="373"/>
      <c r="S32" s="373"/>
    </row>
    <row r="33" spans="1:22" s="314" customFormat="1" ht="21" customHeight="1">
      <c r="A33" s="316"/>
      <c r="B33" s="375">
        <v>30</v>
      </c>
      <c r="C33" s="284">
        <v>190</v>
      </c>
      <c r="D33" s="285">
        <v>228</v>
      </c>
      <c r="E33" s="285">
        <v>120</v>
      </c>
      <c r="F33" s="285"/>
      <c r="G33" s="285"/>
      <c r="H33" s="285"/>
      <c r="I33" s="285"/>
      <c r="J33" s="285"/>
      <c r="K33" s="285"/>
      <c r="L33" s="285">
        <v>120</v>
      </c>
      <c r="M33" s="285">
        <v>86</v>
      </c>
      <c r="N33" s="285"/>
      <c r="O33" s="285"/>
      <c r="P33" s="285"/>
      <c r="Q33" s="286"/>
      <c r="R33" s="373"/>
      <c r="S33" s="373"/>
    </row>
    <row r="34" spans="1:22" s="314" customFormat="1" ht="21" customHeight="1" thickBot="1">
      <c r="A34" s="316"/>
      <c r="B34" s="376">
        <v>31</v>
      </c>
      <c r="C34" s="287"/>
      <c r="D34" s="288"/>
      <c r="E34" s="288"/>
      <c r="F34" s="288"/>
      <c r="G34" s="288"/>
      <c r="H34" s="288"/>
      <c r="I34" s="288"/>
      <c r="J34" s="288"/>
      <c r="K34" s="288"/>
      <c r="L34" s="288"/>
      <c r="M34" s="288"/>
      <c r="N34" s="288"/>
      <c r="O34" s="288">
        <v>215</v>
      </c>
      <c r="P34" s="288"/>
      <c r="Q34" s="289"/>
      <c r="R34" s="373"/>
      <c r="S34" s="373"/>
    </row>
    <row r="35" spans="1:22" ht="37.9" customHeight="1" thickBot="1">
      <c r="A35" s="319"/>
      <c r="B35" s="335" t="s">
        <v>465</v>
      </c>
      <c r="C35" s="336">
        <f>SUM(C4:C34)</f>
        <v>5009</v>
      </c>
      <c r="D35" s="336">
        <f t="shared" ref="D35:P35" si="0">SUM(D4:D34)</f>
        <v>3221</v>
      </c>
      <c r="E35" s="336">
        <f t="shared" si="0"/>
        <v>1512.7</v>
      </c>
      <c r="F35" s="336">
        <f t="shared" si="0"/>
        <v>1274</v>
      </c>
      <c r="G35" s="336">
        <f t="shared" si="0"/>
        <v>2212</v>
      </c>
      <c r="H35" s="336">
        <f t="shared" si="0"/>
        <v>765</v>
      </c>
      <c r="I35" s="336">
        <f t="shared" si="0"/>
        <v>509</v>
      </c>
      <c r="J35" s="336">
        <f t="shared" si="0"/>
        <v>651</v>
      </c>
      <c r="K35" s="336">
        <f t="shared" si="0"/>
        <v>1085</v>
      </c>
      <c r="L35" s="336">
        <f t="shared" si="0"/>
        <v>1000</v>
      </c>
      <c r="M35" s="336">
        <f t="shared" si="0"/>
        <v>1683</v>
      </c>
      <c r="N35" s="336">
        <f t="shared" si="0"/>
        <v>857</v>
      </c>
      <c r="O35" s="336">
        <f t="shared" si="0"/>
        <v>945</v>
      </c>
      <c r="P35" s="336">
        <f t="shared" si="0"/>
        <v>0</v>
      </c>
      <c r="Q35" s="336">
        <f>SUM(Q4:Q34)</f>
        <v>0</v>
      </c>
      <c r="R35" s="337"/>
      <c r="S35" s="337"/>
      <c r="T35" s="338"/>
      <c r="U35" s="339"/>
      <c r="V35" s="339"/>
    </row>
    <row r="36" spans="1:22" ht="48" thickBot="1">
      <c r="A36" s="340"/>
      <c r="B36" s="341"/>
      <c r="C36" s="342" t="s">
        <v>466</v>
      </c>
      <c r="D36" s="343" t="s">
        <v>38</v>
      </c>
      <c r="E36" s="344" t="s">
        <v>36</v>
      </c>
      <c r="F36" s="345" t="s">
        <v>457</v>
      </c>
      <c r="G36" s="344" t="s">
        <v>402</v>
      </c>
      <c r="H36" s="345" t="s">
        <v>458</v>
      </c>
      <c r="I36" s="346" t="s">
        <v>459</v>
      </c>
      <c r="J36" s="346" t="s">
        <v>53</v>
      </c>
      <c r="K36" s="346" t="s">
        <v>460</v>
      </c>
      <c r="L36" s="347" t="s">
        <v>45</v>
      </c>
      <c r="M36" s="347" t="s">
        <v>46</v>
      </c>
      <c r="N36" s="343" t="s">
        <v>461</v>
      </c>
      <c r="O36" s="344" t="s">
        <v>43</v>
      </c>
      <c r="P36" s="344" t="s">
        <v>462</v>
      </c>
      <c r="Q36" s="348" t="str">
        <f>Q2</f>
        <v>SPECIAL FEATURE ITEM               "__________"</v>
      </c>
      <c r="R36" s="349"/>
      <c r="S36" s="349"/>
    </row>
    <row r="37" spans="1:22" ht="13.5" customHeight="1" thickTop="1" thickBot="1">
      <c r="A37" s="350"/>
      <c r="B37" s="351"/>
      <c r="C37" s="352"/>
      <c r="D37" s="353"/>
      <c r="E37" s="352"/>
      <c r="F37" s="354"/>
      <c r="G37" s="352"/>
      <c r="H37" s="354"/>
      <c r="I37" s="355"/>
      <c r="J37" s="355"/>
      <c r="K37" s="355"/>
      <c r="L37" s="356"/>
      <c r="M37" s="356"/>
      <c r="N37" s="353"/>
      <c r="O37" s="352"/>
      <c r="P37" s="352"/>
      <c r="Q37" s="357"/>
      <c r="R37" s="349"/>
      <c r="S37" s="349"/>
    </row>
    <row r="38" spans="1:22" ht="72" customHeight="1" thickTop="1" thickBot="1">
      <c r="A38" s="319"/>
      <c r="B38" s="358" t="s">
        <v>467</v>
      </c>
      <c r="C38" s="359"/>
      <c r="D38" s="360"/>
      <c r="E38" s="361"/>
      <c r="G38" s="362" t="s">
        <v>468</v>
      </c>
      <c r="H38" s="363"/>
      <c r="I38" s="363"/>
      <c r="J38" s="363"/>
      <c r="K38" s="586" t="s">
        <v>469</v>
      </c>
      <c r="L38" s="587"/>
      <c r="M38" s="588"/>
    </row>
    <row r="39" spans="1:22" ht="84" customHeight="1" thickTop="1" thickBot="1">
      <c r="A39" s="319"/>
      <c r="B39" s="364"/>
      <c r="C39" s="365" t="s">
        <v>470</v>
      </c>
      <c r="D39" s="366" t="s">
        <v>471</v>
      </c>
      <c r="E39" s="367" t="s">
        <v>472</v>
      </c>
      <c r="G39" s="368"/>
      <c r="H39" s="369" t="s">
        <v>473</v>
      </c>
      <c r="I39" s="370" t="s">
        <v>474</v>
      </c>
      <c r="J39" s="371"/>
      <c r="K39" s="589">
        <f>SUM(I40:I54)</f>
        <v>30.439324551321718</v>
      </c>
      <c r="L39" s="590"/>
      <c r="M39" s="372" t="s">
        <v>475</v>
      </c>
    </row>
    <row r="40" spans="1:22" s="314" customFormat="1" ht="39" customHeight="1" thickTop="1" thickBot="1">
      <c r="A40" s="316">
        <v>1</v>
      </c>
      <c r="B40" s="334" t="s">
        <v>476</v>
      </c>
      <c r="C40" s="290">
        <v>740</v>
      </c>
      <c r="D40" s="295">
        <f>Food!B5</f>
        <v>790</v>
      </c>
      <c r="E40" s="291"/>
      <c r="G40" s="321" t="s">
        <v>476</v>
      </c>
      <c r="H40" s="322">
        <f>(C40+C35)-(D40+E40)</f>
        <v>4959</v>
      </c>
      <c r="I40" s="323">
        <f>(H40/D58)*16</f>
        <v>7.0147643886482189</v>
      </c>
      <c r="J40" s="324"/>
      <c r="K40" s="591" t="s">
        <v>477</v>
      </c>
      <c r="L40" s="592"/>
      <c r="M40" s="593"/>
    </row>
    <row r="41" spans="1:22" s="314" customFormat="1" ht="28.9" customHeight="1" thickTop="1" thickBot="1">
      <c r="A41" s="316">
        <v>2</v>
      </c>
      <c r="B41" s="334" t="s">
        <v>478</v>
      </c>
      <c r="C41" s="292">
        <v>730</v>
      </c>
      <c r="D41" s="296">
        <f>Food!B8</f>
        <v>460</v>
      </c>
      <c r="E41" s="291"/>
      <c r="G41" s="321" t="s">
        <v>478</v>
      </c>
      <c r="H41" s="325">
        <f>(C41+D35)-(D41+E41)</f>
        <v>3491</v>
      </c>
      <c r="I41" s="326">
        <f>(H41/D58)*16</f>
        <v>4.9382017505083544</v>
      </c>
      <c r="J41" s="324"/>
      <c r="K41" s="579">
        <f>K39/16</f>
        <v>1.9024577844576074</v>
      </c>
      <c r="L41" s="580"/>
      <c r="M41" s="327" t="s">
        <v>479</v>
      </c>
    </row>
    <row r="42" spans="1:22" s="314" customFormat="1" ht="28.9" customHeight="1" thickBot="1">
      <c r="A42" s="316">
        <v>3</v>
      </c>
      <c r="B42" s="334" t="s">
        <v>480</v>
      </c>
      <c r="C42" s="293">
        <v>310</v>
      </c>
      <c r="D42" s="296">
        <f>Food!B6</f>
        <v>395</v>
      </c>
      <c r="E42" s="291"/>
      <c r="G42" s="321" t="s">
        <v>480</v>
      </c>
      <c r="H42" s="325">
        <f>(C42+E35)-(D42+E42)</f>
        <v>1427.7</v>
      </c>
      <c r="I42" s="326">
        <f>(H42/D58)*16</f>
        <v>2.0195561842454248</v>
      </c>
      <c r="J42" s="324"/>
      <c r="K42" s="324"/>
      <c r="L42" s="324"/>
      <c r="M42" s="328"/>
    </row>
    <row r="43" spans="1:22" s="314" customFormat="1" ht="28.9" customHeight="1" thickBot="1">
      <c r="A43" s="316">
        <v>4</v>
      </c>
      <c r="B43" s="334" t="s">
        <v>481</v>
      </c>
      <c r="C43" s="293">
        <v>515</v>
      </c>
      <c r="D43" s="296">
        <f>Food!B9</f>
        <v>290</v>
      </c>
      <c r="E43" s="291"/>
      <c r="G43" s="321" t="s">
        <v>481</v>
      </c>
      <c r="H43" s="325">
        <f>(C43+F35)-(D43+E43)</f>
        <v>1499</v>
      </c>
      <c r="I43" s="326">
        <f>(H43/D58)*16</f>
        <v>2.1204137565202017</v>
      </c>
      <c r="J43" s="324"/>
      <c r="K43" s="324"/>
      <c r="L43" s="324"/>
      <c r="M43" s="328"/>
    </row>
    <row r="44" spans="1:22" s="314" customFormat="1" ht="28.9" customHeight="1" thickBot="1">
      <c r="A44" s="316">
        <v>5</v>
      </c>
      <c r="B44" s="334" t="s">
        <v>482</v>
      </c>
      <c r="C44" s="293">
        <v>575</v>
      </c>
      <c r="D44" s="296">
        <f>Food!B10</f>
        <v>580</v>
      </c>
      <c r="E44" s="291"/>
      <c r="G44" s="321" t="s">
        <v>482</v>
      </c>
      <c r="H44" s="325">
        <f>(C44+G35)-(D44+E44)</f>
        <v>2207</v>
      </c>
      <c r="I44" s="326">
        <f>(H44/D58)*16</f>
        <v>3.1219167182388823</v>
      </c>
      <c r="J44" s="324"/>
      <c r="K44" s="324"/>
      <c r="L44" s="324"/>
      <c r="M44" s="328"/>
    </row>
    <row r="45" spans="1:22" s="314" customFormat="1" ht="28.9" customHeight="1" thickBot="1">
      <c r="A45" s="316">
        <v>6</v>
      </c>
      <c r="B45" s="334" t="s">
        <v>483</v>
      </c>
      <c r="C45" s="293">
        <v>150</v>
      </c>
      <c r="D45" s="296">
        <f>Food!B27+Food!B28</f>
        <v>180</v>
      </c>
      <c r="E45" s="291"/>
      <c r="G45" s="321" t="s">
        <v>483</v>
      </c>
      <c r="H45" s="325">
        <f>(C45+H35)-(D45+E45)</f>
        <v>735</v>
      </c>
      <c r="I45" s="326">
        <f>(H45/D58)*16</f>
        <v>1.0396958712757494</v>
      </c>
      <c r="J45" s="324"/>
      <c r="K45" s="324"/>
      <c r="L45" s="324"/>
      <c r="M45" s="328"/>
    </row>
    <row r="46" spans="1:22" s="314" customFormat="1" ht="28.9" customHeight="1" thickBot="1">
      <c r="A46" s="316">
        <v>7</v>
      </c>
      <c r="B46" s="334" t="s">
        <v>484</v>
      </c>
      <c r="C46" s="293">
        <v>150</v>
      </c>
      <c r="D46" s="296">
        <f>Food!B30</f>
        <v>140</v>
      </c>
      <c r="E46" s="291"/>
      <c r="G46" s="321" t="s">
        <v>484</v>
      </c>
      <c r="H46" s="325">
        <f>(C46+I35)-(D46+E46)</f>
        <v>519</v>
      </c>
      <c r="I46" s="326">
        <f>(H46/D58)*16</f>
        <v>0.73415259481920259</v>
      </c>
      <c r="J46" s="324"/>
      <c r="K46" s="324"/>
      <c r="L46" s="324"/>
      <c r="M46" s="328"/>
    </row>
    <row r="47" spans="1:22" s="314" customFormat="1" ht="28.9" customHeight="1" thickBot="1">
      <c r="A47" s="316">
        <v>8</v>
      </c>
      <c r="B47" s="334" t="s">
        <v>485</v>
      </c>
      <c r="C47" s="293">
        <v>110</v>
      </c>
      <c r="D47" s="296">
        <f>Food!B31</f>
        <v>160</v>
      </c>
      <c r="E47" s="291"/>
      <c r="G47" s="321" t="s">
        <v>485</v>
      </c>
      <c r="H47" s="325">
        <f>(C47+J35)-(D47+E47)</f>
        <v>601</v>
      </c>
      <c r="I47" s="326">
        <f>(H47/D58)*16</f>
        <v>0.85014587569622491</v>
      </c>
      <c r="J47" s="324"/>
      <c r="K47" s="324"/>
      <c r="L47" s="324"/>
      <c r="M47" s="328"/>
    </row>
    <row r="48" spans="1:22" s="314" customFormat="1" ht="28.9" customHeight="1" thickBot="1">
      <c r="A48" s="316">
        <v>9</v>
      </c>
      <c r="B48" s="334" t="s">
        <v>486</v>
      </c>
      <c r="C48" s="293">
        <v>210</v>
      </c>
      <c r="D48" s="296">
        <f>Food!B29</f>
        <v>230</v>
      </c>
      <c r="E48" s="291"/>
      <c r="G48" s="321" t="s">
        <v>486</v>
      </c>
      <c r="H48" s="325">
        <f>(C48+K35)-(D48+E48)</f>
        <v>1065</v>
      </c>
      <c r="I48" s="326">
        <f>(H48/D58)*16</f>
        <v>1.5064980991954735</v>
      </c>
      <c r="J48" s="324"/>
      <c r="K48" s="324"/>
      <c r="L48" s="324"/>
      <c r="M48" s="328"/>
    </row>
    <row r="49" spans="1:49" s="314" customFormat="1" ht="46.5" customHeight="1" thickBot="1">
      <c r="A49" s="316">
        <v>10</v>
      </c>
      <c r="B49" s="334" t="s">
        <v>487</v>
      </c>
      <c r="C49" s="293">
        <v>450</v>
      </c>
      <c r="D49" s="296">
        <f>Food!B22</f>
        <v>210</v>
      </c>
      <c r="E49" s="291"/>
      <c r="G49" s="321" t="s">
        <v>487</v>
      </c>
      <c r="H49" s="325">
        <f>(C49+L35)-(D49+E49)</f>
        <v>1240</v>
      </c>
      <c r="I49" s="326">
        <f>(H49/D58)*16</f>
        <v>1.7540447352135089</v>
      </c>
      <c r="J49" s="324"/>
      <c r="K49" s="324"/>
      <c r="L49" s="324"/>
      <c r="M49" s="328"/>
    </row>
    <row r="50" spans="1:49" s="314" customFormat="1" ht="50.25" customHeight="1" thickBot="1">
      <c r="A50" s="316">
        <v>11</v>
      </c>
      <c r="B50" s="334" t="s">
        <v>488</v>
      </c>
      <c r="C50" s="293">
        <v>320</v>
      </c>
      <c r="D50" s="296">
        <f>Food!B23</f>
        <v>230</v>
      </c>
      <c r="E50" s="291"/>
      <c r="G50" s="321" t="s">
        <v>488</v>
      </c>
      <c r="H50" s="325">
        <f>(C50+M35)-(D50+E50)</f>
        <v>1773</v>
      </c>
      <c r="I50" s="326">
        <f>(H50/D58)*16</f>
        <v>2.5080010609141543</v>
      </c>
      <c r="J50" s="324"/>
      <c r="K50" s="324"/>
      <c r="L50" s="324"/>
      <c r="M50" s="328"/>
    </row>
    <row r="51" spans="1:49" s="314" customFormat="1" ht="28.9" customHeight="1" thickBot="1">
      <c r="A51" s="316">
        <v>12</v>
      </c>
      <c r="B51" s="334" t="s">
        <v>489</v>
      </c>
      <c r="C51" s="293">
        <v>280</v>
      </c>
      <c r="D51" s="296">
        <f>Food!B17</f>
        <v>370</v>
      </c>
      <c r="E51" s="291"/>
      <c r="G51" s="321" t="s">
        <v>489</v>
      </c>
      <c r="H51" s="325">
        <f>(C51+N35)-(D51+E51)</f>
        <v>767</v>
      </c>
      <c r="I51" s="326">
        <f>(H51/D58)*16</f>
        <v>1.0849615418619043</v>
      </c>
      <c r="J51" s="324"/>
      <c r="K51" s="324"/>
      <c r="L51" s="324"/>
      <c r="M51" s="328"/>
    </row>
    <row r="52" spans="1:49" s="314" customFormat="1" ht="28.9" customHeight="1" thickBot="1">
      <c r="A52" s="316">
        <v>13</v>
      </c>
      <c r="B52" s="334" t="s">
        <v>490</v>
      </c>
      <c r="C52" s="293">
        <v>490</v>
      </c>
      <c r="D52" s="296">
        <f>Food!B19</f>
        <v>200</v>
      </c>
      <c r="E52" s="291"/>
      <c r="G52" s="321" t="s">
        <v>490</v>
      </c>
      <c r="H52" s="325">
        <f>(C52+O35)-(D52+E52)</f>
        <v>1235</v>
      </c>
      <c r="I52" s="326">
        <f>(H52/D58)*16</f>
        <v>1.7469719741844223</v>
      </c>
      <c r="J52" s="324"/>
      <c r="K52" s="324"/>
      <c r="L52" s="324"/>
      <c r="M52" s="328"/>
    </row>
    <row r="53" spans="1:49" s="314" customFormat="1" ht="42" customHeight="1" thickBot="1">
      <c r="A53" s="316">
        <v>14</v>
      </c>
      <c r="B53" s="334" t="s">
        <v>491</v>
      </c>
      <c r="C53" s="293"/>
      <c r="D53" s="296">
        <f>Food!B18</f>
        <v>0</v>
      </c>
      <c r="E53" s="291"/>
      <c r="G53" s="321" t="s">
        <v>491</v>
      </c>
      <c r="H53" s="325">
        <f>(C53+P35)-(D53+E53)</f>
        <v>0</v>
      </c>
      <c r="I53" s="326">
        <f>(H53/D58)*16</f>
        <v>0</v>
      </c>
      <c r="J53" s="324"/>
      <c r="K53" s="324"/>
      <c r="L53" s="324"/>
      <c r="M53" s="328"/>
    </row>
    <row r="54" spans="1:49" s="314" customFormat="1" ht="74.25" customHeight="1" thickBot="1">
      <c r="A54" s="316">
        <v>15</v>
      </c>
      <c r="B54" s="334" t="str">
        <f>Q2</f>
        <v>SPECIAL FEATURE ITEM               "__________"</v>
      </c>
      <c r="C54" s="292"/>
      <c r="D54" s="296">
        <f>Food!B11+Food!B12+Food!B13+Food!B14+Food!B24+Food!B34</f>
        <v>0</v>
      </c>
      <c r="E54" s="291"/>
      <c r="G54" s="329" t="str">
        <f>B54</f>
        <v>SPECIAL FEATURE ITEM               "__________"</v>
      </c>
      <c r="H54" s="330">
        <f>(C54+Q35)-(D54+E54)</f>
        <v>0</v>
      </c>
      <c r="I54" s="331">
        <f>(H54/D58)*16</f>
        <v>0</v>
      </c>
      <c r="J54" s="332"/>
      <c r="K54" s="332"/>
      <c r="L54" s="332"/>
      <c r="M54" s="333"/>
    </row>
    <row r="55" spans="1:49" s="314" customFormat="1" ht="21.75" customHeight="1" thickBot="1">
      <c r="A55" s="316"/>
      <c r="B55" s="309"/>
      <c r="C55" s="311"/>
      <c r="D55" s="311"/>
      <c r="E55" s="309"/>
      <c r="F55" s="310"/>
      <c r="G55" s="309"/>
      <c r="H55" s="311"/>
      <c r="I55" s="311"/>
      <c r="J55" s="309"/>
      <c r="K55" s="311"/>
      <c r="L55" s="311"/>
      <c r="M55" s="309"/>
      <c r="N55" s="311"/>
      <c r="O55" s="311"/>
      <c r="P55" s="309"/>
      <c r="Q55" s="311"/>
      <c r="R55" s="311"/>
      <c r="S55" s="309"/>
      <c r="T55" s="311"/>
      <c r="U55" s="311"/>
      <c r="V55" s="309"/>
      <c r="W55" s="311"/>
      <c r="X55" s="311"/>
      <c r="Y55" s="309"/>
      <c r="Z55" s="311"/>
      <c r="AA55" s="311"/>
      <c r="AB55" s="309"/>
      <c r="AC55" s="311"/>
      <c r="AD55" s="311"/>
      <c r="AE55" s="309"/>
      <c r="AF55" s="311"/>
      <c r="AG55" s="311"/>
      <c r="AH55" s="309"/>
      <c r="AI55" s="311"/>
      <c r="AJ55" s="311"/>
      <c r="AK55" s="309"/>
      <c r="AL55" s="311"/>
      <c r="AM55" s="311"/>
      <c r="AN55" s="309"/>
      <c r="AO55" s="311"/>
      <c r="AP55" s="311"/>
      <c r="AQ55" s="309"/>
      <c r="AR55" s="311"/>
      <c r="AS55" s="311"/>
      <c r="AT55" s="312"/>
      <c r="AU55" s="313"/>
      <c r="AV55" s="311"/>
      <c r="AW55" s="312"/>
    </row>
    <row r="56" spans="1:49" s="314" customFormat="1" ht="51" customHeight="1" thickBot="1">
      <c r="A56" s="316"/>
      <c r="B56" s="317" t="s">
        <v>492</v>
      </c>
      <c r="C56" s="318" t="s">
        <v>493</v>
      </c>
      <c r="D56" s="294">
        <v>1245</v>
      </c>
      <c r="E56" s="309"/>
      <c r="F56" s="310"/>
      <c r="G56" s="309"/>
      <c r="H56" s="311"/>
      <c r="I56" s="311"/>
      <c r="J56" s="309"/>
      <c r="K56" s="311"/>
      <c r="L56" s="311"/>
      <c r="M56" s="309"/>
      <c r="N56" s="311"/>
      <c r="O56" s="311"/>
      <c r="P56" s="309"/>
      <c r="Q56" s="311"/>
      <c r="R56" s="311"/>
      <c r="S56" s="309"/>
      <c r="T56" s="311"/>
      <c r="U56" s="311"/>
      <c r="V56" s="309"/>
      <c r="W56" s="311"/>
      <c r="X56" s="311"/>
      <c r="Y56" s="309"/>
      <c r="Z56" s="311"/>
      <c r="AA56" s="311"/>
      <c r="AB56" s="309"/>
      <c r="AC56" s="311"/>
      <c r="AD56" s="311"/>
      <c r="AE56" s="309"/>
      <c r="AF56" s="311"/>
      <c r="AG56" s="311"/>
      <c r="AH56" s="309"/>
      <c r="AI56" s="311"/>
      <c r="AJ56" s="311"/>
      <c r="AK56" s="309"/>
      <c r="AL56" s="311"/>
      <c r="AM56" s="311"/>
      <c r="AN56" s="309"/>
      <c r="AO56" s="311"/>
      <c r="AP56" s="311"/>
      <c r="AQ56" s="309"/>
      <c r="AR56" s="311"/>
      <c r="AS56" s="311"/>
      <c r="AT56" s="312"/>
      <c r="AU56" s="313"/>
      <c r="AV56" s="311"/>
      <c r="AW56" s="312"/>
    </row>
    <row r="57" spans="1:49" ht="41.25" customHeight="1" thickBot="1">
      <c r="A57" s="319"/>
      <c r="C57" s="320" t="s">
        <v>494</v>
      </c>
      <c r="D57" s="294">
        <v>10066</v>
      </c>
      <c r="F57" s="315"/>
    </row>
    <row r="58" spans="1:49" s="303" customFormat="1" ht="48.75" customHeight="1" thickBot="1">
      <c r="A58" s="297"/>
      <c r="B58" s="298"/>
      <c r="C58" s="299" t="s">
        <v>495</v>
      </c>
      <c r="D58" s="300">
        <f>D56+D57</f>
        <v>11311</v>
      </c>
      <c r="E58" s="301"/>
      <c r="F58" s="302"/>
    </row>
    <row r="59" spans="1:49" ht="22.5" customHeight="1" thickTop="1">
      <c r="F59" s="306"/>
    </row>
    <row r="60" spans="1:49" ht="28.5" customHeight="1"/>
    <row r="61" spans="1:49" ht="21">
      <c r="C61" s="307"/>
      <c r="D61" s="307"/>
    </row>
    <row r="62" spans="1:49">
      <c r="F62" s="306"/>
    </row>
    <row r="64" spans="1:49" ht="104.25" customHeight="1"/>
    <row r="65" spans="8:8" ht="31.15" customHeight="1">
      <c r="H65" s="308"/>
    </row>
  </sheetData>
  <sheetProtection algorithmName="SHA-512" hashValue="UrXBlKgypo3K1K0PCBEUr93zN1XAo4jfImi4owBlRpGYLjVj8NwHXITcbzPhYdN33adEfOpjYdRwnLmq58k6hQ==" saltValue="Gq6JZw3/ULMh9fbhdEtbyA==" spinCount="100000" sheet="1" objects="1" scenarios="1"/>
  <mergeCells count="6">
    <mergeCell ref="K41:L41"/>
    <mergeCell ref="I1:K1"/>
    <mergeCell ref="P1:Q1"/>
    <mergeCell ref="K38:M38"/>
    <mergeCell ref="K39:L39"/>
    <mergeCell ref="K40:M40"/>
  </mergeCells>
  <conditionalFormatting sqref="K39">
    <cfRule type="cellIs" dxfId="19" priority="1" operator="greaterThan">
      <formula>32</formula>
    </cfRule>
  </conditionalFormatting>
  <conditionalFormatting sqref="K41">
    <cfRule type="cellIs" dxfId="18" priority="2" operator="greaterThan">
      <formula>2</formula>
    </cfRule>
  </conditionalFormatting>
  <pageMargins left="0.25" right="0.25" top="0.75" bottom="0.75" header="0.3" footer="0.3"/>
  <pageSetup scale="29" orientation="landscape" horizontalDpi="4294967293"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122"/>
  <sheetViews>
    <sheetView showGridLines="0" zoomScaleNormal="100" workbookViewId="0">
      <selection activeCell="D6" sqref="D6"/>
    </sheetView>
  </sheetViews>
  <sheetFormatPr defaultColWidth="8.85546875" defaultRowHeight="12.75"/>
  <cols>
    <col min="1" max="1" width="43" style="171" customWidth="1"/>
    <col min="2" max="2" width="6.42578125" style="171" customWidth="1"/>
    <col min="3" max="3" width="0.140625" hidden="1" customWidth="1"/>
    <col min="4" max="4" width="12" customWidth="1"/>
    <col min="5" max="5" width="11.85546875" customWidth="1"/>
    <col min="6" max="6" width="18.5703125" customWidth="1"/>
    <col min="7" max="7" width="12.5703125" style="56" customWidth="1"/>
    <col min="252" max="252" width="25.85546875" customWidth="1"/>
    <col min="253" max="253" width="6.42578125" customWidth="1"/>
    <col min="255" max="255" width="0" hidden="1" customWidth="1"/>
    <col min="256" max="256" width="11.42578125" customWidth="1"/>
    <col min="257" max="257" width="9.7109375" customWidth="1"/>
    <col min="258" max="258" width="12.85546875" customWidth="1"/>
    <col min="259" max="259" width="15" customWidth="1"/>
    <col min="263" max="263" width="9.28515625" customWidth="1"/>
    <col min="508" max="508" width="25.85546875" customWidth="1"/>
    <col min="509" max="509" width="6.42578125" customWidth="1"/>
    <col min="511" max="511" width="0" hidden="1" customWidth="1"/>
    <col min="512" max="512" width="11.42578125" customWidth="1"/>
    <col min="513" max="513" width="9.7109375" customWidth="1"/>
    <col min="514" max="514" width="12.85546875" customWidth="1"/>
    <col min="515" max="515" width="15" customWidth="1"/>
    <col min="519" max="519" width="9.28515625" customWidth="1"/>
    <col min="764" max="764" width="25.85546875" customWidth="1"/>
    <col min="765" max="765" width="6.42578125" customWidth="1"/>
    <col min="767" max="767" width="0" hidden="1" customWidth="1"/>
    <col min="768" max="768" width="11.42578125" customWidth="1"/>
    <col min="769" max="769" width="9.7109375" customWidth="1"/>
    <col min="770" max="770" width="12.85546875" customWidth="1"/>
    <col min="771" max="771" width="15" customWidth="1"/>
    <col min="775" max="775" width="9.28515625" customWidth="1"/>
    <col min="1020" max="1020" width="25.85546875" customWidth="1"/>
    <col min="1021" max="1021" width="6.42578125" customWidth="1"/>
    <col min="1023" max="1023" width="0" hidden="1" customWidth="1"/>
    <col min="1024" max="1024" width="11.42578125" customWidth="1"/>
    <col min="1025" max="1025" width="9.7109375" customWidth="1"/>
    <col min="1026" max="1026" width="12.85546875" customWidth="1"/>
    <col min="1027" max="1027" width="15" customWidth="1"/>
    <col min="1031" max="1031" width="9.28515625" customWidth="1"/>
    <col min="1276" max="1276" width="25.85546875" customWidth="1"/>
    <col min="1277" max="1277" width="6.42578125" customWidth="1"/>
    <col min="1279" max="1279" width="0" hidden="1" customWidth="1"/>
    <col min="1280" max="1280" width="11.42578125" customWidth="1"/>
    <col min="1281" max="1281" width="9.7109375" customWidth="1"/>
    <col min="1282" max="1282" width="12.85546875" customWidth="1"/>
    <col min="1283" max="1283" width="15" customWidth="1"/>
    <col min="1287" max="1287" width="9.28515625" customWidth="1"/>
    <col min="1532" max="1532" width="25.85546875" customWidth="1"/>
    <col min="1533" max="1533" width="6.42578125" customWidth="1"/>
    <col min="1535" max="1535" width="0" hidden="1" customWidth="1"/>
    <col min="1536" max="1536" width="11.42578125" customWidth="1"/>
    <col min="1537" max="1537" width="9.7109375" customWidth="1"/>
    <col min="1538" max="1538" width="12.85546875" customWidth="1"/>
    <col min="1539" max="1539" width="15" customWidth="1"/>
    <col min="1543" max="1543" width="9.28515625" customWidth="1"/>
    <col min="1788" max="1788" width="25.85546875" customWidth="1"/>
    <col min="1789" max="1789" width="6.42578125" customWidth="1"/>
    <col min="1791" max="1791" width="0" hidden="1" customWidth="1"/>
    <col min="1792" max="1792" width="11.42578125" customWidth="1"/>
    <col min="1793" max="1793" width="9.7109375" customWidth="1"/>
    <col min="1794" max="1794" width="12.85546875" customWidth="1"/>
    <col min="1795" max="1795" width="15" customWidth="1"/>
    <col min="1799" max="1799" width="9.28515625" customWidth="1"/>
    <col min="2044" max="2044" width="25.85546875" customWidth="1"/>
    <col min="2045" max="2045" width="6.42578125" customWidth="1"/>
    <col min="2047" max="2047" width="0" hidden="1" customWidth="1"/>
    <col min="2048" max="2048" width="11.42578125" customWidth="1"/>
    <col min="2049" max="2049" width="9.7109375" customWidth="1"/>
    <col min="2050" max="2050" width="12.85546875" customWidth="1"/>
    <col min="2051" max="2051" width="15" customWidth="1"/>
    <col min="2055" max="2055" width="9.28515625" customWidth="1"/>
    <col min="2300" max="2300" width="25.85546875" customWidth="1"/>
    <col min="2301" max="2301" width="6.42578125" customWidth="1"/>
    <col min="2303" max="2303" width="0" hidden="1" customWidth="1"/>
    <col min="2304" max="2304" width="11.42578125" customWidth="1"/>
    <col min="2305" max="2305" width="9.7109375" customWidth="1"/>
    <col min="2306" max="2306" width="12.85546875" customWidth="1"/>
    <col min="2307" max="2307" width="15" customWidth="1"/>
    <col min="2311" max="2311" width="9.28515625" customWidth="1"/>
    <col min="2556" max="2556" width="25.85546875" customWidth="1"/>
    <col min="2557" max="2557" width="6.42578125" customWidth="1"/>
    <col min="2559" max="2559" width="0" hidden="1" customWidth="1"/>
    <col min="2560" max="2560" width="11.42578125" customWidth="1"/>
    <col min="2561" max="2561" width="9.7109375" customWidth="1"/>
    <col min="2562" max="2562" width="12.85546875" customWidth="1"/>
    <col min="2563" max="2563" width="15" customWidth="1"/>
    <col min="2567" max="2567" width="9.28515625" customWidth="1"/>
    <col min="2812" max="2812" width="25.85546875" customWidth="1"/>
    <col min="2813" max="2813" width="6.42578125" customWidth="1"/>
    <col min="2815" max="2815" width="0" hidden="1" customWidth="1"/>
    <col min="2816" max="2816" width="11.42578125" customWidth="1"/>
    <col min="2817" max="2817" width="9.7109375" customWidth="1"/>
    <col min="2818" max="2818" width="12.85546875" customWidth="1"/>
    <col min="2819" max="2819" width="15" customWidth="1"/>
    <col min="2823" max="2823" width="9.28515625" customWidth="1"/>
    <col min="3068" max="3068" width="25.85546875" customWidth="1"/>
    <col min="3069" max="3069" width="6.42578125" customWidth="1"/>
    <col min="3071" max="3071" width="0" hidden="1" customWidth="1"/>
    <col min="3072" max="3072" width="11.42578125" customWidth="1"/>
    <col min="3073" max="3073" width="9.7109375" customWidth="1"/>
    <col min="3074" max="3074" width="12.85546875" customWidth="1"/>
    <col min="3075" max="3075" width="15" customWidth="1"/>
    <col min="3079" max="3079" width="9.28515625" customWidth="1"/>
    <col min="3324" max="3324" width="25.85546875" customWidth="1"/>
    <col min="3325" max="3325" width="6.42578125" customWidth="1"/>
    <col min="3327" max="3327" width="0" hidden="1" customWidth="1"/>
    <col min="3328" max="3328" width="11.42578125" customWidth="1"/>
    <col min="3329" max="3329" width="9.7109375" customWidth="1"/>
    <col min="3330" max="3330" width="12.85546875" customWidth="1"/>
    <col min="3331" max="3331" width="15" customWidth="1"/>
    <col min="3335" max="3335" width="9.28515625" customWidth="1"/>
    <col min="3580" max="3580" width="25.85546875" customWidth="1"/>
    <col min="3581" max="3581" width="6.42578125" customWidth="1"/>
    <col min="3583" max="3583" width="0" hidden="1" customWidth="1"/>
    <col min="3584" max="3584" width="11.42578125" customWidth="1"/>
    <col min="3585" max="3585" width="9.7109375" customWidth="1"/>
    <col min="3586" max="3586" width="12.85546875" customWidth="1"/>
    <col min="3587" max="3587" width="15" customWidth="1"/>
    <col min="3591" max="3591" width="9.28515625" customWidth="1"/>
    <col min="3836" max="3836" width="25.85546875" customWidth="1"/>
    <col min="3837" max="3837" width="6.42578125" customWidth="1"/>
    <col min="3839" max="3839" width="0" hidden="1" customWidth="1"/>
    <col min="3840" max="3840" width="11.42578125" customWidth="1"/>
    <col min="3841" max="3841" width="9.7109375" customWidth="1"/>
    <col min="3842" max="3842" width="12.85546875" customWidth="1"/>
    <col min="3843" max="3843" width="15" customWidth="1"/>
    <col min="3847" max="3847" width="9.28515625" customWidth="1"/>
    <col min="4092" max="4092" width="25.85546875" customWidth="1"/>
    <col min="4093" max="4093" width="6.42578125" customWidth="1"/>
    <col min="4095" max="4095" width="0" hidden="1" customWidth="1"/>
    <col min="4096" max="4096" width="11.42578125" customWidth="1"/>
    <col min="4097" max="4097" width="9.7109375" customWidth="1"/>
    <col min="4098" max="4098" width="12.85546875" customWidth="1"/>
    <col min="4099" max="4099" width="15" customWidth="1"/>
    <col min="4103" max="4103" width="9.28515625" customWidth="1"/>
    <col min="4348" max="4348" width="25.85546875" customWidth="1"/>
    <col min="4349" max="4349" width="6.42578125" customWidth="1"/>
    <col min="4351" max="4351" width="0" hidden="1" customWidth="1"/>
    <col min="4352" max="4352" width="11.42578125" customWidth="1"/>
    <col min="4353" max="4353" width="9.7109375" customWidth="1"/>
    <col min="4354" max="4354" width="12.85546875" customWidth="1"/>
    <col min="4355" max="4355" width="15" customWidth="1"/>
    <col min="4359" max="4359" width="9.28515625" customWidth="1"/>
    <col min="4604" max="4604" width="25.85546875" customWidth="1"/>
    <col min="4605" max="4605" width="6.42578125" customWidth="1"/>
    <col min="4607" max="4607" width="0" hidden="1" customWidth="1"/>
    <col min="4608" max="4608" width="11.42578125" customWidth="1"/>
    <col min="4609" max="4609" width="9.7109375" customWidth="1"/>
    <col min="4610" max="4610" width="12.85546875" customWidth="1"/>
    <col min="4611" max="4611" width="15" customWidth="1"/>
    <col min="4615" max="4615" width="9.28515625" customWidth="1"/>
    <col min="4860" max="4860" width="25.85546875" customWidth="1"/>
    <col min="4861" max="4861" width="6.42578125" customWidth="1"/>
    <col min="4863" max="4863" width="0" hidden="1" customWidth="1"/>
    <col min="4864" max="4864" width="11.42578125" customWidth="1"/>
    <col min="4865" max="4865" width="9.7109375" customWidth="1"/>
    <col min="4866" max="4866" width="12.85546875" customWidth="1"/>
    <col min="4867" max="4867" width="15" customWidth="1"/>
    <col min="4871" max="4871" width="9.28515625" customWidth="1"/>
    <col min="5116" max="5116" width="25.85546875" customWidth="1"/>
    <col min="5117" max="5117" width="6.42578125" customWidth="1"/>
    <col min="5119" max="5119" width="0" hidden="1" customWidth="1"/>
    <col min="5120" max="5120" width="11.42578125" customWidth="1"/>
    <col min="5121" max="5121" width="9.7109375" customWidth="1"/>
    <col min="5122" max="5122" width="12.85546875" customWidth="1"/>
    <col min="5123" max="5123" width="15" customWidth="1"/>
    <col min="5127" max="5127" width="9.28515625" customWidth="1"/>
    <col min="5372" max="5372" width="25.85546875" customWidth="1"/>
    <col min="5373" max="5373" width="6.42578125" customWidth="1"/>
    <col min="5375" max="5375" width="0" hidden="1" customWidth="1"/>
    <col min="5376" max="5376" width="11.42578125" customWidth="1"/>
    <col min="5377" max="5377" width="9.7109375" customWidth="1"/>
    <col min="5378" max="5378" width="12.85546875" customWidth="1"/>
    <col min="5379" max="5379" width="15" customWidth="1"/>
    <col min="5383" max="5383" width="9.28515625" customWidth="1"/>
    <col min="5628" max="5628" width="25.85546875" customWidth="1"/>
    <col min="5629" max="5629" width="6.42578125" customWidth="1"/>
    <col min="5631" max="5631" width="0" hidden="1" customWidth="1"/>
    <col min="5632" max="5632" width="11.42578125" customWidth="1"/>
    <col min="5633" max="5633" width="9.7109375" customWidth="1"/>
    <col min="5634" max="5634" width="12.85546875" customWidth="1"/>
    <col min="5635" max="5635" width="15" customWidth="1"/>
    <col min="5639" max="5639" width="9.28515625" customWidth="1"/>
    <col min="5884" max="5884" width="25.85546875" customWidth="1"/>
    <col min="5885" max="5885" width="6.42578125" customWidth="1"/>
    <col min="5887" max="5887" width="0" hidden="1" customWidth="1"/>
    <col min="5888" max="5888" width="11.42578125" customWidth="1"/>
    <col min="5889" max="5889" width="9.7109375" customWidth="1"/>
    <col min="5890" max="5890" width="12.85546875" customWidth="1"/>
    <col min="5891" max="5891" width="15" customWidth="1"/>
    <col min="5895" max="5895" width="9.28515625" customWidth="1"/>
    <col min="6140" max="6140" width="25.85546875" customWidth="1"/>
    <col min="6141" max="6141" width="6.42578125" customWidth="1"/>
    <col min="6143" max="6143" width="0" hidden="1" customWidth="1"/>
    <col min="6144" max="6144" width="11.42578125" customWidth="1"/>
    <col min="6145" max="6145" width="9.7109375" customWidth="1"/>
    <col min="6146" max="6146" width="12.85546875" customWidth="1"/>
    <col min="6147" max="6147" width="15" customWidth="1"/>
    <col min="6151" max="6151" width="9.28515625" customWidth="1"/>
    <col min="6396" max="6396" width="25.85546875" customWidth="1"/>
    <col min="6397" max="6397" width="6.42578125" customWidth="1"/>
    <col min="6399" max="6399" width="0" hidden="1" customWidth="1"/>
    <col min="6400" max="6400" width="11.42578125" customWidth="1"/>
    <col min="6401" max="6401" width="9.7109375" customWidth="1"/>
    <col min="6402" max="6402" width="12.85546875" customWidth="1"/>
    <col min="6403" max="6403" width="15" customWidth="1"/>
    <col min="6407" max="6407" width="9.28515625" customWidth="1"/>
    <col min="6652" max="6652" width="25.85546875" customWidth="1"/>
    <col min="6653" max="6653" width="6.42578125" customWidth="1"/>
    <col min="6655" max="6655" width="0" hidden="1" customWidth="1"/>
    <col min="6656" max="6656" width="11.42578125" customWidth="1"/>
    <col min="6657" max="6657" width="9.7109375" customWidth="1"/>
    <col min="6658" max="6658" width="12.85546875" customWidth="1"/>
    <col min="6659" max="6659" width="15" customWidth="1"/>
    <col min="6663" max="6663" width="9.28515625" customWidth="1"/>
    <col min="6908" max="6908" width="25.85546875" customWidth="1"/>
    <col min="6909" max="6909" width="6.42578125" customWidth="1"/>
    <col min="6911" max="6911" width="0" hidden="1" customWidth="1"/>
    <col min="6912" max="6912" width="11.42578125" customWidth="1"/>
    <col min="6913" max="6913" width="9.7109375" customWidth="1"/>
    <col min="6914" max="6914" width="12.85546875" customWidth="1"/>
    <col min="6915" max="6915" width="15" customWidth="1"/>
    <col min="6919" max="6919" width="9.28515625" customWidth="1"/>
    <col min="7164" max="7164" width="25.85546875" customWidth="1"/>
    <col min="7165" max="7165" width="6.42578125" customWidth="1"/>
    <col min="7167" max="7167" width="0" hidden="1" customWidth="1"/>
    <col min="7168" max="7168" width="11.42578125" customWidth="1"/>
    <col min="7169" max="7169" width="9.7109375" customWidth="1"/>
    <col min="7170" max="7170" width="12.85546875" customWidth="1"/>
    <col min="7171" max="7171" width="15" customWidth="1"/>
    <col min="7175" max="7175" width="9.28515625" customWidth="1"/>
    <col min="7420" max="7420" width="25.85546875" customWidth="1"/>
    <col min="7421" max="7421" width="6.42578125" customWidth="1"/>
    <col min="7423" max="7423" width="0" hidden="1" customWidth="1"/>
    <col min="7424" max="7424" width="11.42578125" customWidth="1"/>
    <col min="7425" max="7425" width="9.7109375" customWidth="1"/>
    <col min="7426" max="7426" width="12.85546875" customWidth="1"/>
    <col min="7427" max="7427" width="15" customWidth="1"/>
    <col min="7431" max="7431" width="9.28515625" customWidth="1"/>
    <col min="7676" max="7676" width="25.85546875" customWidth="1"/>
    <col min="7677" max="7677" width="6.42578125" customWidth="1"/>
    <col min="7679" max="7679" width="0" hidden="1" customWidth="1"/>
    <col min="7680" max="7680" width="11.42578125" customWidth="1"/>
    <col min="7681" max="7681" width="9.7109375" customWidth="1"/>
    <col min="7682" max="7682" width="12.85546875" customWidth="1"/>
    <col min="7683" max="7683" width="15" customWidth="1"/>
    <col min="7687" max="7687" width="9.28515625" customWidth="1"/>
    <col min="7932" max="7932" width="25.85546875" customWidth="1"/>
    <col min="7933" max="7933" width="6.42578125" customWidth="1"/>
    <col min="7935" max="7935" width="0" hidden="1" customWidth="1"/>
    <col min="7936" max="7936" width="11.42578125" customWidth="1"/>
    <col min="7937" max="7937" width="9.7109375" customWidth="1"/>
    <col min="7938" max="7938" width="12.85546875" customWidth="1"/>
    <col min="7939" max="7939" width="15" customWidth="1"/>
    <col min="7943" max="7943" width="9.28515625" customWidth="1"/>
    <col min="8188" max="8188" width="25.85546875" customWidth="1"/>
    <col min="8189" max="8189" width="6.42578125" customWidth="1"/>
    <col min="8191" max="8191" width="0" hidden="1" customWidth="1"/>
    <col min="8192" max="8192" width="11.42578125" customWidth="1"/>
    <col min="8193" max="8193" width="9.7109375" customWidth="1"/>
    <col min="8194" max="8194" width="12.85546875" customWidth="1"/>
    <col min="8195" max="8195" width="15" customWidth="1"/>
    <col min="8199" max="8199" width="9.28515625" customWidth="1"/>
    <col min="8444" max="8444" width="25.85546875" customWidth="1"/>
    <col min="8445" max="8445" width="6.42578125" customWidth="1"/>
    <col min="8447" max="8447" width="0" hidden="1" customWidth="1"/>
    <col min="8448" max="8448" width="11.42578125" customWidth="1"/>
    <col min="8449" max="8449" width="9.7109375" customWidth="1"/>
    <col min="8450" max="8450" width="12.85546875" customWidth="1"/>
    <col min="8451" max="8451" width="15" customWidth="1"/>
    <col min="8455" max="8455" width="9.28515625" customWidth="1"/>
    <col min="8700" max="8700" width="25.85546875" customWidth="1"/>
    <col min="8701" max="8701" width="6.42578125" customWidth="1"/>
    <col min="8703" max="8703" width="0" hidden="1" customWidth="1"/>
    <col min="8704" max="8704" width="11.42578125" customWidth="1"/>
    <col min="8705" max="8705" width="9.7109375" customWidth="1"/>
    <col min="8706" max="8706" width="12.85546875" customWidth="1"/>
    <col min="8707" max="8707" width="15" customWidth="1"/>
    <col min="8711" max="8711" width="9.28515625" customWidth="1"/>
    <col min="8956" max="8956" width="25.85546875" customWidth="1"/>
    <col min="8957" max="8957" width="6.42578125" customWidth="1"/>
    <col min="8959" max="8959" width="0" hidden="1" customWidth="1"/>
    <col min="8960" max="8960" width="11.42578125" customWidth="1"/>
    <col min="8961" max="8961" width="9.7109375" customWidth="1"/>
    <col min="8962" max="8962" width="12.85546875" customWidth="1"/>
    <col min="8963" max="8963" width="15" customWidth="1"/>
    <col min="8967" max="8967" width="9.28515625" customWidth="1"/>
    <col min="9212" max="9212" width="25.85546875" customWidth="1"/>
    <col min="9213" max="9213" width="6.42578125" customWidth="1"/>
    <col min="9215" max="9215" width="0" hidden="1" customWidth="1"/>
    <col min="9216" max="9216" width="11.42578125" customWidth="1"/>
    <col min="9217" max="9217" width="9.7109375" customWidth="1"/>
    <col min="9218" max="9218" width="12.85546875" customWidth="1"/>
    <col min="9219" max="9219" width="15" customWidth="1"/>
    <col min="9223" max="9223" width="9.28515625" customWidth="1"/>
    <col min="9468" max="9468" width="25.85546875" customWidth="1"/>
    <col min="9469" max="9469" width="6.42578125" customWidth="1"/>
    <col min="9471" max="9471" width="0" hidden="1" customWidth="1"/>
    <col min="9472" max="9472" width="11.42578125" customWidth="1"/>
    <col min="9473" max="9473" width="9.7109375" customWidth="1"/>
    <col min="9474" max="9474" width="12.85546875" customWidth="1"/>
    <col min="9475" max="9475" width="15" customWidth="1"/>
    <col min="9479" max="9479" width="9.28515625" customWidth="1"/>
    <col min="9724" max="9724" width="25.85546875" customWidth="1"/>
    <col min="9725" max="9725" width="6.42578125" customWidth="1"/>
    <col min="9727" max="9727" width="0" hidden="1" customWidth="1"/>
    <col min="9728" max="9728" width="11.42578125" customWidth="1"/>
    <col min="9729" max="9729" width="9.7109375" customWidth="1"/>
    <col min="9730" max="9730" width="12.85546875" customWidth="1"/>
    <col min="9731" max="9731" width="15" customWidth="1"/>
    <col min="9735" max="9735" width="9.28515625" customWidth="1"/>
    <col min="9980" max="9980" width="25.85546875" customWidth="1"/>
    <col min="9981" max="9981" width="6.42578125" customWidth="1"/>
    <col min="9983" max="9983" width="0" hidden="1" customWidth="1"/>
    <col min="9984" max="9984" width="11.42578125" customWidth="1"/>
    <col min="9985" max="9985" width="9.7109375" customWidth="1"/>
    <col min="9986" max="9986" width="12.85546875" customWidth="1"/>
    <col min="9987" max="9987" width="15" customWidth="1"/>
    <col min="9991" max="9991" width="9.28515625" customWidth="1"/>
    <col min="10236" max="10236" width="25.85546875" customWidth="1"/>
    <col min="10237" max="10237" width="6.42578125" customWidth="1"/>
    <col min="10239" max="10239" width="0" hidden="1" customWidth="1"/>
    <col min="10240" max="10240" width="11.42578125" customWidth="1"/>
    <col min="10241" max="10241" width="9.7109375" customWidth="1"/>
    <col min="10242" max="10242" width="12.85546875" customWidth="1"/>
    <col min="10243" max="10243" width="15" customWidth="1"/>
    <col min="10247" max="10247" width="9.28515625" customWidth="1"/>
    <col min="10492" max="10492" width="25.85546875" customWidth="1"/>
    <col min="10493" max="10493" width="6.42578125" customWidth="1"/>
    <col min="10495" max="10495" width="0" hidden="1" customWidth="1"/>
    <col min="10496" max="10496" width="11.42578125" customWidth="1"/>
    <col min="10497" max="10497" width="9.7109375" customWidth="1"/>
    <col min="10498" max="10498" width="12.85546875" customWidth="1"/>
    <col min="10499" max="10499" width="15" customWidth="1"/>
    <col min="10503" max="10503" width="9.28515625" customWidth="1"/>
    <col min="10748" max="10748" width="25.85546875" customWidth="1"/>
    <col min="10749" max="10749" width="6.42578125" customWidth="1"/>
    <col min="10751" max="10751" width="0" hidden="1" customWidth="1"/>
    <col min="10752" max="10752" width="11.42578125" customWidth="1"/>
    <col min="10753" max="10753" width="9.7109375" customWidth="1"/>
    <col min="10754" max="10754" width="12.85546875" customWidth="1"/>
    <col min="10755" max="10755" width="15" customWidth="1"/>
    <col min="10759" max="10759" width="9.28515625" customWidth="1"/>
    <col min="11004" max="11004" width="25.85546875" customWidth="1"/>
    <col min="11005" max="11005" width="6.42578125" customWidth="1"/>
    <col min="11007" max="11007" width="0" hidden="1" customWidth="1"/>
    <col min="11008" max="11008" width="11.42578125" customWidth="1"/>
    <col min="11009" max="11009" width="9.7109375" customWidth="1"/>
    <col min="11010" max="11010" width="12.85546875" customWidth="1"/>
    <col min="11011" max="11011" width="15" customWidth="1"/>
    <col min="11015" max="11015" width="9.28515625" customWidth="1"/>
    <col min="11260" max="11260" width="25.85546875" customWidth="1"/>
    <col min="11261" max="11261" width="6.42578125" customWidth="1"/>
    <col min="11263" max="11263" width="0" hidden="1" customWidth="1"/>
    <col min="11264" max="11264" width="11.42578125" customWidth="1"/>
    <col min="11265" max="11265" width="9.7109375" customWidth="1"/>
    <col min="11266" max="11266" width="12.85546875" customWidth="1"/>
    <col min="11267" max="11267" width="15" customWidth="1"/>
    <col min="11271" max="11271" width="9.28515625" customWidth="1"/>
    <col min="11516" max="11516" width="25.85546875" customWidth="1"/>
    <col min="11517" max="11517" width="6.42578125" customWidth="1"/>
    <col min="11519" max="11519" width="0" hidden="1" customWidth="1"/>
    <col min="11520" max="11520" width="11.42578125" customWidth="1"/>
    <col min="11521" max="11521" width="9.7109375" customWidth="1"/>
    <col min="11522" max="11522" width="12.85546875" customWidth="1"/>
    <col min="11523" max="11523" width="15" customWidth="1"/>
    <col min="11527" max="11527" width="9.28515625" customWidth="1"/>
    <col min="11772" max="11772" width="25.85546875" customWidth="1"/>
    <col min="11773" max="11773" width="6.42578125" customWidth="1"/>
    <col min="11775" max="11775" width="0" hidden="1" customWidth="1"/>
    <col min="11776" max="11776" width="11.42578125" customWidth="1"/>
    <col min="11777" max="11777" width="9.7109375" customWidth="1"/>
    <col min="11778" max="11778" width="12.85546875" customWidth="1"/>
    <col min="11779" max="11779" width="15" customWidth="1"/>
    <col min="11783" max="11783" width="9.28515625" customWidth="1"/>
    <col min="12028" max="12028" width="25.85546875" customWidth="1"/>
    <col min="12029" max="12029" width="6.42578125" customWidth="1"/>
    <col min="12031" max="12031" width="0" hidden="1" customWidth="1"/>
    <col min="12032" max="12032" width="11.42578125" customWidth="1"/>
    <col min="12033" max="12033" width="9.7109375" customWidth="1"/>
    <col min="12034" max="12034" width="12.85546875" customWidth="1"/>
    <col min="12035" max="12035" width="15" customWidth="1"/>
    <col min="12039" max="12039" width="9.28515625" customWidth="1"/>
    <col min="12284" max="12284" width="25.85546875" customWidth="1"/>
    <col min="12285" max="12285" width="6.42578125" customWidth="1"/>
    <col min="12287" max="12287" width="0" hidden="1" customWidth="1"/>
    <col min="12288" max="12288" width="11.42578125" customWidth="1"/>
    <col min="12289" max="12289" width="9.7109375" customWidth="1"/>
    <col min="12290" max="12290" width="12.85546875" customWidth="1"/>
    <col min="12291" max="12291" width="15" customWidth="1"/>
    <col min="12295" max="12295" width="9.28515625" customWidth="1"/>
    <col min="12540" max="12540" width="25.85546875" customWidth="1"/>
    <col min="12541" max="12541" width="6.42578125" customWidth="1"/>
    <col min="12543" max="12543" width="0" hidden="1" customWidth="1"/>
    <col min="12544" max="12544" width="11.42578125" customWidth="1"/>
    <col min="12545" max="12545" width="9.7109375" customWidth="1"/>
    <col min="12546" max="12546" width="12.85546875" customWidth="1"/>
    <col min="12547" max="12547" width="15" customWidth="1"/>
    <col min="12551" max="12551" width="9.28515625" customWidth="1"/>
    <col min="12796" max="12796" width="25.85546875" customWidth="1"/>
    <col min="12797" max="12797" width="6.42578125" customWidth="1"/>
    <col min="12799" max="12799" width="0" hidden="1" customWidth="1"/>
    <col min="12800" max="12800" width="11.42578125" customWidth="1"/>
    <col min="12801" max="12801" width="9.7109375" customWidth="1"/>
    <col min="12802" max="12802" width="12.85546875" customWidth="1"/>
    <col min="12803" max="12803" width="15" customWidth="1"/>
    <col min="12807" max="12807" width="9.28515625" customWidth="1"/>
    <col min="13052" max="13052" width="25.85546875" customWidth="1"/>
    <col min="13053" max="13053" width="6.42578125" customWidth="1"/>
    <col min="13055" max="13055" width="0" hidden="1" customWidth="1"/>
    <col min="13056" max="13056" width="11.42578125" customWidth="1"/>
    <col min="13057" max="13057" width="9.7109375" customWidth="1"/>
    <col min="13058" max="13058" width="12.85546875" customWidth="1"/>
    <col min="13059" max="13059" width="15" customWidth="1"/>
    <col min="13063" max="13063" width="9.28515625" customWidth="1"/>
    <col min="13308" max="13308" width="25.85546875" customWidth="1"/>
    <col min="13309" max="13309" width="6.42578125" customWidth="1"/>
    <col min="13311" max="13311" width="0" hidden="1" customWidth="1"/>
    <col min="13312" max="13312" width="11.42578125" customWidth="1"/>
    <col min="13313" max="13313" width="9.7109375" customWidth="1"/>
    <col min="13314" max="13314" width="12.85546875" customWidth="1"/>
    <col min="13315" max="13315" width="15" customWidth="1"/>
    <col min="13319" max="13319" width="9.28515625" customWidth="1"/>
    <col min="13564" max="13564" width="25.85546875" customWidth="1"/>
    <col min="13565" max="13565" width="6.42578125" customWidth="1"/>
    <col min="13567" max="13567" width="0" hidden="1" customWidth="1"/>
    <col min="13568" max="13568" width="11.42578125" customWidth="1"/>
    <col min="13569" max="13569" width="9.7109375" customWidth="1"/>
    <col min="13570" max="13570" width="12.85546875" customWidth="1"/>
    <col min="13571" max="13571" width="15" customWidth="1"/>
    <col min="13575" max="13575" width="9.28515625" customWidth="1"/>
    <col min="13820" max="13820" width="25.85546875" customWidth="1"/>
    <col min="13821" max="13821" width="6.42578125" customWidth="1"/>
    <col min="13823" max="13823" width="0" hidden="1" customWidth="1"/>
    <col min="13824" max="13824" width="11.42578125" customWidth="1"/>
    <col min="13825" max="13825" width="9.7109375" customWidth="1"/>
    <col min="13826" max="13826" width="12.85546875" customWidth="1"/>
    <col min="13827" max="13827" width="15" customWidth="1"/>
    <col min="13831" max="13831" width="9.28515625" customWidth="1"/>
    <col min="14076" max="14076" width="25.85546875" customWidth="1"/>
    <col min="14077" max="14077" width="6.42578125" customWidth="1"/>
    <col min="14079" max="14079" width="0" hidden="1" customWidth="1"/>
    <col min="14080" max="14080" width="11.42578125" customWidth="1"/>
    <col min="14081" max="14081" width="9.7109375" customWidth="1"/>
    <col min="14082" max="14082" width="12.85546875" customWidth="1"/>
    <col min="14083" max="14083" width="15" customWidth="1"/>
    <col min="14087" max="14087" width="9.28515625" customWidth="1"/>
    <col min="14332" max="14332" width="25.85546875" customWidth="1"/>
    <col min="14333" max="14333" width="6.42578125" customWidth="1"/>
    <col min="14335" max="14335" width="0" hidden="1" customWidth="1"/>
    <col min="14336" max="14336" width="11.42578125" customWidth="1"/>
    <col min="14337" max="14337" width="9.7109375" customWidth="1"/>
    <col min="14338" max="14338" width="12.85546875" customWidth="1"/>
    <col min="14339" max="14339" width="15" customWidth="1"/>
    <col min="14343" max="14343" width="9.28515625" customWidth="1"/>
    <col min="14588" max="14588" width="25.85546875" customWidth="1"/>
    <col min="14589" max="14589" width="6.42578125" customWidth="1"/>
    <col min="14591" max="14591" width="0" hidden="1" customWidth="1"/>
    <col min="14592" max="14592" width="11.42578125" customWidth="1"/>
    <col min="14593" max="14593" width="9.7109375" customWidth="1"/>
    <col min="14594" max="14594" width="12.85546875" customWidth="1"/>
    <col min="14595" max="14595" width="15" customWidth="1"/>
    <col min="14599" max="14599" width="9.28515625" customWidth="1"/>
    <col min="14844" max="14844" width="25.85546875" customWidth="1"/>
    <col min="14845" max="14845" width="6.42578125" customWidth="1"/>
    <col min="14847" max="14847" width="0" hidden="1" customWidth="1"/>
    <col min="14848" max="14848" width="11.42578125" customWidth="1"/>
    <col min="14849" max="14849" width="9.7109375" customWidth="1"/>
    <col min="14850" max="14850" width="12.85546875" customWidth="1"/>
    <col min="14851" max="14851" width="15" customWidth="1"/>
    <col min="14855" max="14855" width="9.28515625" customWidth="1"/>
    <col min="15100" max="15100" width="25.85546875" customWidth="1"/>
    <col min="15101" max="15101" width="6.42578125" customWidth="1"/>
    <col min="15103" max="15103" width="0" hidden="1" customWidth="1"/>
    <col min="15104" max="15104" width="11.42578125" customWidth="1"/>
    <col min="15105" max="15105" width="9.7109375" customWidth="1"/>
    <col min="15106" max="15106" width="12.85546875" customWidth="1"/>
    <col min="15107" max="15107" width="15" customWidth="1"/>
    <col min="15111" max="15111" width="9.28515625" customWidth="1"/>
    <col min="15356" max="15356" width="25.85546875" customWidth="1"/>
    <col min="15357" max="15357" width="6.42578125" customWidth="1"/>
    <col min="15359" max="15359" width="0" hidden="1" customWidth="1"/>
    <col min="15360" max="15360" width="11.42578125" customWidth="1"/>
    <col min="15361" max="15361" width="9.7109375" customWidth="1"/>
    <col min="15362" max="15362" width="12.85546875" customWidth="1"/>
    <col min="15363" max="15363" width="15" customWidth="1"/>
    <col min="15367" max="15367" width="9.28515625" customWidth="1"/>
    <col min="15612" max="15612" width="25.85546875" customWidth="1"/>
    <col min="15613" max="15613" width="6.42578125" customWidth="1"/>
    <col min="15615" max="15615" width="0" hidden="1" customWidth="1"/>
    <col min="15616" max="15616" width="11.42578125" customWidth="1"/>
    <col min="15617" max="15617" width="9.7109375" customWidth="1"/>
    <col min="15618" max="15618" width="12.85546875" customWidth="1"/>
    <col min="15619" max="15619" width="15" customWidth="1"/>
    <col min="15623" max="15623" width="9.28515625" customWidth="1"/>
    <col min="15868" max="15868" width="25.85546875" customWidth="1"/>
    <col min="15869" max="15869" width="6.42578125" customWidth="1"/>
    <col min="15871" max="15871" width="0" hidden="1" customWidth="1"/>
    <col min="15872" max="15872" width="11.42578125" customWidth="1"/>
    <col min="15873" max="15873" width="9.7109375" customWidth="1"/>
    <col min="15874" max="15874" width="12.85546875" customWidth="1"/>
    <col min="15875" max="15875" width="15" customWidth="1"/>
    <col min="15879" max="15879" width="9.28515625" customWidth="1"/>
    <col min="16124" max="16124" width="25.85546875" customWidth="1"/>
    <col min="16125" max="16125" width="6.42578125" customWidth="1"/>
    <col min="16127" max="16127" width="0" hidden="1" customWidth="1"/>
    <col min="16128" max="16128" width="11.42578125" customWidth="1"/>
    <col min="16129" max="16129" width="9.7109375" customWidth="1"/>
    <col min="16130" max="16130" width="12.85546875" customWidth="1"/>
    <col min="16131" max="16131" width="15" customWidth="1"/>
    <col min="16135" max="16135" width="9.28515625" customWidth="1"/>
  </cols>
  <sheetData>
    <row r="1" spans="1:7" ht="24" thickBot="1">
      <c r="A1" s="401" t="str">
        <f>'Inv Totals'!B3</f>
        <v>Texas de Brazil - Tokyo JP</v>
      </c>
      <c r="B1" s="400"/>
      <c r="C1" s="400"/>
      <c r="D1" s="399"/>
      <c r="E1" s="400"/>
      <c r="F1" s="400"/>
      <c r="G1" s="495">
        <f>'Inv Totals'!B1</f>
        <v>45931</v>
      </c>
    </row>
    <row r="2" spans="1:7" ht="16.5" customHeight="1" thickBot="1">
      <c r="B2" s="456"/>
      <c r="C2" s="457"/>
      <c r="G2" s="462"/>
    </row>
    <row r="3" spans="1:7" ht="31.5" customHeight="1" thickBot="1">
      <c r="A3" s="478" t="s">
        <v>517</v>
      </c>
      <c r="B3" s="445" t="s">
        <v>25</v>
      </c>
      <c r="C3" s="445" t="s">
        <v>26</v>
      </c>
      <c r="D3" s="445" t="s">
        <v>27</v>
      </c>
      <c r="E3" s="463" t="s">
        <v>28</v>
      </c>
      <c r="F3" s="446" t="s">
        <v>29</v>
      </c>
      <c r="G3" s="447" t="s">
        <v>30</v>
      </c>
    </row>
    <row r="4" spans="1:7" ht="13.5" thickBot="1">
      <c r="A4" s="492"/>
      <c r="B4" s="493"/>
      <c r="C4" s="263"/>
      <c r="D4" s="263"/>
      <c r="E4" s="263"/>
      <c r="F4" s="263"/>
      <c r="G4" s="494"/>
    </row>
    <row r="5" spans="1:7" ht="19.5" customHeight="1" thickBot="1">
      <c r="A5" s="475" t="s">
        <v>283</v>
      </c>
      <c r="B5" s="486"/>
      <c r="C5" s="486"/>
      <c r="D5" s="487"/>
      <c r="E5" s="487"/>
      <c r="F5" s="487"/>
      <c r="G5" s="488"/>
    </row>
    <row r="6" spans="1:7" ht="15.95" customHeight="1">
      <c r="A6" s="448" t="s">
        <v>284</v>
      </c>
      <c r="B6" s="48" t="s">
        <v>285</v>
      </c>
      <c r="C6" s="23"/>
      <c r="D6" s="24"/>
      <c r="E6" s="30"/>
      <c r="F6" s="449">
        <f>D6*E6</f>
        <v>0</v>
      </c>
      <c r="G6" s="39" t="s">
        <v>286</v>
      </c>
    </row>
    <row r="7" spans="1:7" ht="15.95" customHeight="1">
      <c r="A7" s="450" t="s">
        <v>287</v>
      </c>
      <c r="B7" s="37" t="s">
        <v>288</v>
      </c>
      <c r="C7" s="26"/>
      <c r="D7" s="27"/>
      <c r="E7" s="31"/>
      <c r="F7" s="451">
        <f t="shared" ref="F7" si="0">D7*E7</f>
        <v>0</v>
      </c>
      <c r="G7" s="40" t="s">
        <v>35</v>
      </c>
    </row>
    <row r="8" spans="1:7" ht="15.95" customHeight="1">
      <c r="A8" s="450" t="s">
        <v>289</v>
      </c>
      <c r="B8" s="37" t="s">
        <v>288</v>
      </c>
      <c r="C8" s="26"/>
      <c r="D8" s="27"/>
      <c r="E8" s="31"/>
      <c r="F8" s="451">
        <f>D8*E8</f>
        <v>0</v>
      </c>
      <c r="G8" s="42" t="s">
        <v>286</v>
      </c>
    </row>
    <row r="9" spans="1:7" ht="15.95" customHeight="1" thickBot="1">
      <c r="A9" s="452" t="s">
        <v>290</v>
      </c>
      <c r="B9" s="38" t="s">
        <v>288</v>
      </c>
      <c r="C9" s="28"/>
      <c r="D9" s="29"/>
      <c r="E9" s="32"/>
      <c r="F9" s="453">
        <f>D9*E9</f>
        <v>0</v>
      </c>
      <c r="G9" s="44" t="s">
        <v>35</v>
      </c>
    </row>
    <row r="10" spans="1:7" ht="17.25" thickBot="1">
      <c r="A10" s="454"/>
      <c r="B10" s="481"/>
      <c r="C10" s="482"/>
      <c r="D10" s="483"/>
      <c r="E10" s="484" t="s">
        <v>516</v>
      </c>
      <c r="F10" s="455">
        <f>SUM(F6:F9)</f>
        <v>0</v>
      </c>
      <c r="G10" s="485"/>
    </row>
    <row r="11" spans="1:7" ht="19.5" customHeight="1" thickBot="1">
      <c r="A11" s="475" t="s">
        <v>291</v>
      </c>
      <c r="B11" s="486"/>
      <c r="C11" s="486"/>
      <c r="D11" s="487"/>
      <c r="E11" s="487"/>
      <c r="F11" s="487"/>
      <c r="G11" s="488"/>
    </row>
    <row r="12" spans="1:7" ht="15.95" customHeight="1">
      <c r="A12" s="448" t="s">
        <v>292</v>
      </c>
      <c r="B12" s="48" t="s">
        <v>288</v>
      </c>
      <c r="C12" s="23"/>
      <c r="D12" s="24"/>
      <c r="E12" s="30"/>
      <c r="F12" s="449">
        <f>D12*E12</f>
        <v>0</v>
      </c>
      <c r="G12" s="39" t="s">
        <v>286</v>
      </c>
    </row>
    <row r="13" spans="1:7" ht="15.95" customHeight="1">
      <c r="A13" s="450" t="s">
        <v>293</v>
      </c>
      <c r="B13" s="37" t="s">
        <v>288</v>
      </c>
      <c r="C13" s="26"/>
      <c r="D13" s="27"/>
      <c r="E13" s="31"/>
      <c r="F13" s="451">
        <f>D13*E13</f>
        <v>0</v>
      </c>
      <c r="G13" s="40" t="s">
        <v>286</v>
      </c>
    </row>
    <row r="14" spans="1:7" ht="15.95" customHeight="1">
      <c r="A14" s="450" t="s">
        <v>294</v>
      </c>
      <c r="B14" s="37" t="s">
        <v>295</v>
      </c>
      <c r="C14" s="26"/>
      <c r="D14" s="27"/>
      <c r="E14" s="31"/>
      <c r="F14" s="451">
        <f>D14*E14</f>
        <v>0</v>
      </c>
      <c r="G14" s="42"/>
    </row>
    <row r="15" spans="1:7" ht="15.95" customHeight="1" thickBot="1">
      <c r="A15" s="452"/>
      <c r="B15" s="38" t="s">
        <v>295</v>
      </c>
      <c r="C15" s="28"/>
      <c r="D15" s="29"/>
      <c r="E15" s="32"/>
      <c r="F15" s="453">
        <f t="shared" ref="F15" si="1">D15*E15</f>
        <v>0</v>
      </c>
      <c r="G15" s="44" t="s">
        <v>35</v>
      </c>
    </row>
    <row r="16" spans="1:7" ht="17.25" thickBot="1">
      <c r="A16" s="454"/>
      <c r="B16" s="481"/>
      <c r="C16" s="482"/>
      <c r="D16" s="483"/>
      <c r="E16" s="484" t="s">
        <v>516</v>
      </c>
      <c r="F16" s="455">
        <f>SUM(F12:F15)</f>
        <v>0</v>
      </c>
      <c r="G16" s="485"/>
    </row>
    <row r="17" spans="1:7" ht="19.5" customHeight="1" thickBot="1">
      <c r="A17" s="475" t="s">
        <v>296</v>
      </c>
      <c r="B17" s="486"/>
      <c r="C17" s="486"/>
      <c r="D17" s="487"/>
      <c r="E17" s="487"/>
      <c r="F17" s="487"/>
      <c r="G17" s="488"/>
    </row>
    <row r="18" spans="1:7" ht="15.95" customHeight="1">
      <c r="A18" s="458" t="s">
        <v>406</v>
      </c>
      <c r="B18" s="48" t="s">
        <v>288</v>
      </c>
      <c r="C18" s="23"/>
      <c r="D18" s="24"/>
      <c r="E18" s="30"/>
      <c r="F18" s="449">
        <f>D18*E18</f>
        <v>0</v>
      </c>
      <c r="G18" s="39" t="s">
        <v>35</v>
      </c>
    </row>
    <row r="19" spans="1:7" ht="15.95" customHeight="1">
      <c r="A19" s="450" t="s">
        <v>297</v>
      </c>
      <c r="B19" s="37" t="s">
        <v>298</v>
      </c>
      <c r="C19" s="26"/>
      <c r="D19" s="27"/>
      <c r="E19" s="31"/>
      <c r="F19" s="451">
        <f>D19*E19</f>
        <v>0</v>
      </c>
      <c r="G19" s="40" t="s">
        <v>35</v>
      </c>
    </row>
    <row r="20" spans="1:7" ht="15.95" customHeight="1">
      <c r="A20" s="459" t="s">
        <v>407</v>
      </c>
      <c r="B20" s="37" t="s">
        <v>298</v>
      </c>
      <c r="C20" s="182"/>
      <c r="D20" s="183"/>
      <c r="E20" s="181"/>
      <c r="F20" s="451">
        <f>D20*E20</f>
        <v>0</v>
      </c>
      <c r="G20" s="40" t="s">
        <v>35</v>
      </c>
    </row>
    <row r="21" spans="1:7" ht="15.95" customHeight="1" thickBot="1">
      <c r="A21" s="452"/>
      <c r="B21" s="38"/>
      <c r="C21" s="28"/>
      <c r="D21" s="29"/>
      <c r="E21" s="32"/>
      <c r="F21" s="453">
        <f>D21*E21</f>
        <v>0</v>
      </c>
      <c r="G21" s="41"/>
    </row>
    <row r="22" spans="1:7" ht="17.25" thickBot="1">
      <c r="A22" s="454"/>
      <c r="B22" s="481"/>
      <c r="C22" s="482"/>
      <c r="D22" s="483"/>
      <c r="E22" s="484" t="s">
        <v>516</v>
      </c>
      <c r="F22" s="455">
        <f>SUM(F18:F21)</f>
        <v>0</v>
      </c>
      <c r="G22" s="485"/>
    </row>
    <row r="23" spans="1:7" ht="19.5" customHeight="1" thickBot="1">
      <c r="A23" s="475" t="s">
        <v>299</v>
      </c>
      <c r="B23" s="486"/>
      <c r="C23" s="486"/>
      <c r="D23" s="487"/>
      <c r="E23" s="487"/>
      <c r="F23" s="487"/>
      <c r="G23" s="488"/>
    </row>
    <row r="24" spans="1:7" ht="15.95" customHeight="1">
      <c r="A24" s="448" t="s">
        <v>405</v>
      </c>
      <c r="B24" s="48" t="s">
        <v>288</v>
      </c>
      <c r="C24" s="23"/>
      <c r="D24" s="24"/>
      <c r="E24" s="30"/>
      <c r="F24" s="449">
        <f>D24*E24</f>
        <v>0</v>
      </c>
      <c r="G24" s="43" t="s">
        <v>35</v>
      </c>
    </row>
    <row r="25" spans="1:7" ht="15.95" customHeight="1" thickBot="1">
      <c r="A25" s="452" t="s">
        <v>300</v>
      </c>
      <c r="B25" s="38" t="s">
        <v>298</v>
      </c>
      <c r="C25" s="28"/>
      <c r="D25" s="29"/>
      <c r="E25" s="32"/>
      <c r="F25" s="453">
        <f>D25*E25</f>
        <v>0</v>
      </c>
      <c r="G25" s="41" t="s">
        <v>35</v>
      </c>
    </row>
    <row r="26" spans="1:7" ht="17.25" thickBot="1">
      <c r="A26" s="454"/>
      <c r="B26" s="481"/>
      <c r="C26" s="482"/>
      <c r="D26" s="483"/>
      <c r="E26" s="484" t="s">
        <v>516</v>
      </c>
      <c r="F26" s="455">
        <f>SUM(F24:F25)</f>
        <v>0</v>
      </c>
      <c r="G26" s="485"/>
    </row>
    <row r="27" spans="1:7" ht="19.5" customHeight="1" thickBot="1">
      <c r="A27" s="475" t="s">
        <v>515</v>
      </c>
      <c r="B27" s="486"/>
      <c r="C27" s="486"/>
      <c r="D27" s="487"/>
      <c r="E27" s="487"/>
      <c r="F27" s="487"/>
      <c r="G27" s="488"/>
    </row>
    <row r="28" spans="1:7" ht="15.95" customHeight="1">
      <c r="A28" s="448" t="s">
        <v>301</v>
      </c>
      <c r="B28" s="48" t="s">
        <v>288</v>
      </c>
      <c r="C28" s="23"/>
      <c r="D28" s="24"/>
      <c r="E28" s="30"/>
      <c r="F28" s="449">
        <f>D28*E28</f>
        <v>0</v>
      </c>
      <c r="G28" s="39" t="s">
        <v>35</v>
      </c>
    </row>
    <row r="29" spans="1:7" ht="15.95" customHeight="1">
      <c r="A29" s="450" t="s">
        <v>302</v>
      </c>
      <c r="B29" s="37" t="s">
        <v>288</v>
      </c>
      <c r="C29" s="26"/>
      <c r="D29" s="27"/>
      <c r="E29" s="31"/>
      <c r="F29" s="451">
        <f>D29*E29</f>
        <v>0</v>
      </c>
      <c r="G29" s="40" t="s">
        <v>35</v>
      </c>
    </row>
    <row r="30" spans="1:7" ht="15.95" customHeight="1" thickBot="1">
      <c r="A30" s="452" t="s">
        <v>303</v>
      </c>
      <c r="B30" s="38" t="s">
        <v>288</v>
      </c>
      <c r="C30" s="28"/>
      <c r="D30" s="29"/>
      <c r="E30" s="32"/>
      <c r="F30" s="453">
        <f>D30*E30</f>
        <v>0</v>
      </c>
      <c r="G30" s="44" t="s">
        <v>35</v>
      </c>
    </row>
    <row r="31" spans="1:7" ht="17.25" thickBot="1">
      <c r="A31" s="454"/>
      <c r="B31" s="481"/>
      <c r="C31" s="482"/>
      <c r="D31" s="483"/>
      <c r="E31" s="484" t="s">
        <v>516</v>
      </c>
      <c r="F31" s="455">
        <f>SUM(F28:F30)</f>
        <v>0</v>
      </c>
      <c r="G31" s="485"/>
    </row>
    <row r="32" spans="1:7" ht="19.5" customHeight="1" thickBot="1">
      <c r="A32" s="475" t="s">
        <v>304</v>
      </c>
      <c r="B32" s="486"/>
      <c r="C32" s="486"/>
      <c r="D32" s="487"/>
      <c r="E32" s="487"/>
      <c r="F32" s="487"/>
      <c r="G32" s="488"/>
    </row>
    <row r="33" spans="1:7" ht="15.95" customHeight="1">
      <c r="A33" s="448" t="s">
        <v>412</v>
      </c>
      <c r="B33" s="48" t="s">
        <v>288</v>
      </c>
      <c r="C33" s="23"/>
      <c r="D33" s="24"/>
      <c r="E33" s="30"/>
      <c r="F33" s="449">
        <f>D33*E33</f>
        <v>0</v>
      </c>
      <c r="G33" s="43" t="s">
        <v>35</v>
      </c>
    </row>
    <row r="34" spans="1:7" ht="15.95" customHeight="1">
      <c r="A34" s="450" t="s">
        <v>413</v>
      </c>
      <c r="B34" s="37" t="s">
        <v>288</v>
      </c>
      <c r="C34" s="26"/>
      <c r="D34" s="27"/>
      <c r="E34" s="31"/>
      <c r="F34" s="451">
        <f>D34*E34</f>
        <v>0</v>
      </c>
      <c r="G34" s="42" t="s">
        <v>35</v>
      </c>
    </row>
    <row r="35" spans="1:7" ht="15.95" customHeight="1" thickBot="1">
      <c r="A35" s="452" t="s">
        <v>414</v>
      </c>
      <c r="B35" s="38" t="s">
        <v>288</v>
      </c>
      <c r="C35" s="28"/>
      <c r="D35" s="29"/>
      <c r="E35" s="32"/>
      <c r="F35" s="453">
        <f>D35*E35</f>
        <v>0</v>
      </c>
      <c r="G35" s="44" t="s">
        <v>35</v>
      </c>
    </row>
    <row r="36" spans="1:7" ht="17.25" thickBot="1">
      <c r="A36" s="454"/>
      <c r="B36" s="481"/>
      <c r="C36" s="482"/>
      <c r="D36" s="483"/>
      <c r="E36" s="484" t="s">
        <v>516</v>
      </c>
      <c r="F36" s="455">
        <f>SUM(F33:F35)</f>
        <v>0</v>
      </c>
      <c r="G36" s="485"/>
    </row>
    <row r="37" spans="1:7" ht="13.5" thickBot="1">
      <c r="A37" s="489"/>
      <c r="B37" s="490"/>
      <c r="C37" s="491"/>
      <c r="D37" s="491"/>
      <c r="E37" s="491"/>
      <c r="F37" s="491"/>
      <c r="G37" s="252"/>
    </row>
    <row r="38" spans="1:7" ht="18.75" thickBot="1">
      <c r="A38" s="460"/>
      <c r="B38" s="456"/>
      <c r="C38" s="457"/>
      <c r="D38" s="469"/>
      <c r="E38" s="480" t="s">
        <v>337</v>
      </c>
      <c r="F38" s="474">
        <f>F10+F16+F22+F26+F31+F36</f>
        <v>0</v>
      </c>
      <c r="G38"/>
    </row>
    <row r="39" spans="1:7" ht="16.5" customHeight="1" thickBot="1">
      <c r="B39" s="456"/>
      <c r="C39" s="457"/>
      <c r="G39" s="462"/>
    </row>
    <row r="40" spans="1:7" ht="31.5" customHeight="1" thickBot="1">
      <c r="A40" s="478" t="s">
        <v>305</v>
      </c>
      <c r="B40" s="445" t="s">
        <v>25</v>
      </c>
      <c r="C40" s="445" t="s">
        <v>26</v>
      </c>
      <c r="D40" s="445" t="s">
        <v>27</v>
      </c>
      <c r="E40" s="463" t="s">
        <v>28</v>
      </c>
      <c r="F40" s="446" t="s">
        <v>29</v>
      </c>
      <c r="G40" s="447" t="s">
        <v>30</v>
      </c>
    </row>
    <row r="41" spans="1:7" ht="13.5" thickBot="1">
      <c r="A41" s="489"/>
      <c r="B41" s="490"/>
      <c r="C41" s="491"/>
      <c r="D41" s="491"/>
      <c r="E41" s="491"/>
      <c r="F41" s="491"/>
      <c r="G41" s="252"/>
    </row>
    <row r="42" spans="1:7" s="466" customFormat="1" ht="15.95" customHeight="1">
      <c r="A42" s="464" t="s">
        <v>306</v>
      </c>
      <c r="B42" s="48" t="s">
        <v>285</v>
      </c>
      <c r="C42" s="33"/>
      <c r="D42" s="7"/>
      <c r="E42" s="34"/>
      <c r="F42" s="465">
        <f>D42*E42</f>
        <v>0</v>
      </c>
      <c r="G42" s="39" t="s">
        <v>35</v>
      </c>
    </row>
    <row r="43" spans="1:7" s="466" customFormat="1" ht="15.95" customHeight="1">
      <c r="A43" s="467" t="s">
        <v>307</v>
      </c>
      <c r="B43" s="37" t="s">
        <v>285</v>
      </c>
      <c r="C43" s="35"/>
      <c r="D43" s="6"/>
      <c r="E43" s="36"/>
      <c r="F43" s="468">
        <f>D43*E43</f>
        <v>0</v>
      </c>
      <c r="G43" s="40" t="s">
        <v>286</v>
      </c>
    </row>
    <row r="44" spans="1:7" s="466" customFormat="1" ht="15.95" customHeight="1">
      <c r="A44" s="467" t="s">
        <v>308</v>
      </c>
      <c r="B44" s="37" t="s">
        <v>285</v>
      </c>
      <c r="C44" s="35"/>
      <c r="D44" s="6"/>
      <c r="E44" s="36"/>
      <c r="F44" s="468">
        <f t="shared" ref="F44:F91" si="2">D44*E44</f>
        <v>0</v>
      </c>
      <c r="G44" s="40" t="s">
        <v>35</v>
      </c>
    </row>
    <row r="45" spans="1:7" s="466" customFormat="1" ht="15.95" customHeight="1">
      <c r="A45" s="467" t="s">
        <v>309</v>
      </c>
      <c r="B45" s="37" t="s">
        <v>285</v>
      </c>
      <c r="C45" s="35"/>
      <c r="D45" s="6"/>
      <c r="E45" s="36"/>
      <c r="F45" s="468">
        <f t="shared" ref="F45" si="3">D45*E45</f>
        <v>0</v>
      </c>
      <c r="G45" s="40" t="s">
        <v>35</v>
      </c>
    </row>
    <row r="46" spans="1:7" s="466" customFormat="1" ht="15.95" customHeight="1">
      <c r="A46" s="467" t="s">
        <v>310</v>
      </c>
      <c r="B46" s="37" t="s">
        <v>285</v>
      </c>
      <c r="C46" s="35"/>
      <c r="D46" s="6"/>
      <c r="E46" s="36"/>
      <c r="F46" s="468">
        <f t="shared" si="2"/>
        <v>0</v>
      </c>
      <c r="G46" s="40" t="s">
        <v>35</v>
      </c>
    </row>
    <row r="47" spans="1:7" s="466" customFormat="1" ht="15.95" customHeight="1">
      <c r="A47" s="467" t="s">
        <v>311</v>
      </c>
      <c r="B47" s="49" t="s">
        <v>285</v>
      </c>
      <c r="C47" s="35"/>
      <c r="D47" s="6"/>
      <c r="E47" s="36"/>
      <c r="F47" s="468">
        <f t="shared" ref="F47" si="4">D47*E47</f>
        <v>0</v>
      </c>
      <c r="G47" s="40" t="s">
        <v>35</v>
      </c>
    </row>
    <row r="48" spans="1:7" s="466" customFormat="1" ht="15.95" customHeight="1">
      <c r="A48" s="467" t="s">
        <v>312</v>
      </c>
      <c r="B48" s="49" t="s">
        <v>285</v>
      </c>
      <c r="C48" s="35"/>
      <c r="D48" s="6"/>
      <c r="E48" s="36"/>
      <c r="F48" s="468">
        <f t="shared" si="2"/>
        <v>0</v>
      </c>
      <c r="G48" s="40" t="s">
        <v>35</v>
      </c>
    </row>
    <row r="49" spans="1:9" s="466" customFormat="1" ht="15.95" customHeight="1">
      <c r="A49" s="467" t="s">
        <v>313</v>
      </c>
      <c r="B49" s="37" t="s">
        <v>285</v>
      </c>
      <c r="C49" s="35"/>
      <c r="D49" s="6"/>
      <c r="E49" s="36"/>
      <c r="F49" s="468">
        <f t="shared" si="2"/>
        <v>0</v>
      </c>
      <c r="G49" s="40" t="s">
        <v>286</v>
      </c>
    </row>
    <row r="50" spans="1:9" s="466" customFormat="1" ht="15.95" customHeight="1">
      <c r="A50" s="467" t="s">
        <v>314</v>
      </c>
      <c r="B50" s="37" t="s">
        <v>285</v>
      </c>
      <c r="C50" s="35"/>
      <c r="D50" s="6"/>
      <c r="E50" s="36"/>
      <c r="F50" s="468">
        <f t="shared" si="2"/>
        <v>0</v>
      </c>
      <c r="G50" s="40" t="s">
        <v>286</v>
      </c>
    </row>
    <row r="51" spans="1:9" s="466" customFormat="1" ht="15.95" customHeight="1">
      <c r="A51" s="467" t="s">
        <v>315</v>
      </c>
      <c r="B51" s="37" t="s">
        <v>316</v>
      </c>
      <c r="C51" s="35"/>
      <c r="D51" s="6"/>
      <c r="E51" s="36"/>
      <c r="F51" s="468">
        <f t="shared" si="2"/>
        <v>0</v>
      </c>
      <c r="G51" s="40" t="s">
        <v>286</v>
      </c>
    </row>
    <row r="52" spans="1:9" s="466" customFormat="1" ht="15.95" customHeight="1">
      <c r="A52" s="467" t="s">
        <v>317</v>
      </c>
      <c r="B52" s="37" t="s">
        <v>316</v>
      </c>
      <c r="C52" s="35"/>
      <c r="D52" s="6"/>
      <c r="E52" s="36"/>
      <c r="F52" s="468">
        <f t="shared" si="2"/>
        <v>0</v>
      </c>
      <c r="G52" s="40" t="s">
        <v>35</v>
      </c>
    </row>
    <row r="53" spans="1:9" s="466" customFormat="1" ht="15.95" customHeight="1">
      <c r="A53" s="467" t="s">
        <v>318</v>
      </c>
      <c r="B53" s="37" t="s">
        <v>285</v>
      </c>
      <c r="C53" s="35"/>
      <c r="D53" s="6"/>
      <c r="E53" s="36"/>
      <c r="F53" s="468">
        <f t="shared" si="2"/>
        <v>0</v>
      </c>
      <c r="G53" s="40" t="s">
        <v>286</v>
      </c>
    </row>
    <row r="54" spans="1:9" s="466" customFormat="1" ht="15.95" customHeight="1">
      <c r="A54" s="467" t="s">
        <v>319</v>
      </c>
      <c r="B54" s="37" t="s">
        <v>285</v>
      </c>
      <c r="C54" s="35"/>
      <c r="D54" s="6"/>
      <c r="E54" s="36"/>
      <c r="F54" s="468">
        <f t="shared" ref="F54" si="5">D54*E54</f>
        <v>0</v>
      </c>
      <c r="G54" s="40" t="s">
        <v>286</v>
      </c>
    </row>
    <row r="55" spans="1:9" s="466" customFormat="1" ht="15.95" customHeight="1">
      <c r="A55" s="467" t="s">
        <v>320</v>
      </c>
      <c r="B55" s="37" t="s">
        <v>285</v>
      </c>
      <c r="C55" s="35"/>
      <c r="D55" s="6"/>
      <c r="E55" s="36"/>
      <c r="F55" s="468">
        <f t="shared" si="2"/>
        <v>0</v>
      </c>
      <c r="G55" s="40" t="s">
        <v>286</v>
      </c>
    </row>
    <row r="56" spans="1:9" ht="15.95" customHeight="1">
      <c r="A56" s="450" t="s">
        <v>321</v>
      </c>
      <c r="B56" s="37" t="s">
        <v>285</v>
      </c>
      <c r="C56" s="26"/>
      <c r="D56" s="6"/>
      <c r="E56" s="31"/>
      <c r="F56" s="451">
        <f t="shared" si="2"/>
        <v>0</v>
      </c>
      <c r="G56" s="40" t="s">
        <v>286</v>
      </c>
    </row>
    <row r="57" spans="1:9" ht="15.95" customHeight="1">
      <c r="A57" s="450" t="s">
        <v>322</v>
      </c>
      <c r="B57" s="37" t="s">
        <v>285</v>
      </c>
      <c r="C57" s="26"/>
      <c r="D57" s="6"/>
      <c r="E57" s="31"/>
      <c r="F57" s="451">
        <f t="shared" si="2"/>
        <v>0</v>
      </c>
      <c r="G57" s="40" t="s">
        <v>286</v>
      </c>
      <c r="I57" t="s">
        <v>323</v>
      </c>
    </row>
    <row r="58" spans="1:9" ht="15.95" customHeight="1">
      <c r="A58" s="450" t="s">
        <v>324</v>
      </c>
      <c r="B58" s="37" t="s">
        <v>285</v>
      </c>
      <c r="C58" s="26"/>
      <c r="D58" s="6"/>
      <c r="E58" s="31"/>
      <c r="F58" s="451">
        <f t="shared" si="2"/>
        <v>0</v>
      </c>
      <c r="G58" s="40" t="s">
        <v>286</v>
      </c>
    </row>
    <row r="59" spans="1:9" ht="15.95" customHeight="1">
      <c r="A59" s="450" t="s">
        <v>325</v>
      </c>
      <c r="B59" s="37" t="s">
        <v>285</v>
      </c>
      <c r="C59" s="25"/>
      <c r="D59" s="6"/>
      <c r="E59" s="31"/>
      <c r="F59" s="451">
        <f t="shared" si="2"/>
        <v>0</v>
      </c>
      <c r="G59" s="40" t="s">
        <v>286</v>
      </c>
    </row>
    <row r="60" spans="1:9" ht="15.95" customHeight="1">
      <c r="A60" s="450" t="s">
        <v>326</v>
      </c>
      <c r="B60" s="37" t="s">
        <v>285</v>
      </c>
      <c r="C60" s="25"/>
      <c r="D60" s="6"/>
      <c r="E60" s="31"/>
      <c r="F60" s="451">
        <f t="shared" si="2"/>
        <v>0</v>
      </c>
      <c r="G60" s="40" t="s">
        <v>286</v>
      </c>
    </row>
    <row r="61" spans="1:9" ht="15.95" customHeight="1">
      <c r="A61" s="450" t="s">
        <v>327</v>
      </c>
      <c r="B61" s="37" t="s">
        <v>285</v>
      </c>
      <c r="C61" s="25"/>
      <c r="D61" s="6"/>
      <c r="E61" s="31"/>
      <c r="F61" s="451">
        <f t="shared" si="2"/>
        <v>0</v>
      </c>
      <c r="G61" s="40" t="s">
        <v>286</v>
      </c>
    </row>
    <row r="62" spans="1:9" ht="15.95" customHeight="1">
      <c r="A62" s="450" t="s">
        <v>328</v>
      </c>
      <c r="B62" s="37" t="s">
        <v>285</v>
      </c>
      <c r="C62" s="26"/>
      <c r="D62" s="6"/>
      <c r="E62" s="31"/>
      <c r="F62" s="451">
        <f>D62*E62</f>
        <v>0</v>
      </c>
      <c r="G62" s="42" t="s">
        <v>286</v>
      </c>
    </row>
    <row r="63" spans="1:9" ht="15.95" customHeight="1">
      <c r="A63" s="450" t="s">
        <v>329</v>
      </c>
      <c r="B63" s="49" t="s">
        <v>288</v>
      </c>
      <c r="C63" s="26"/>
      <c r="D63" s="6"/>
      <c r="E63" s="31"/>
      <c r="F63" s="451">
        <f t="shared" si="2"/>
        <v>0</v>
      </c>
      <c r="G63" s="42" t="s">
        <v>286</v>
      </c>
    </row>
    <row r="64" spans="1:9" ht="15.95" customHeight="1">
      <c r="A64" s="450" t="s">
        <v>330</v>
      </c>
      <c r="B64" s="37" t="s">
        <v>288</v>
      </c>
      <c r="C64" s="26"/>
      <c r="D64" s="6"/>
      <c r="E64" s="31"/>
      <c r="F64" s="451">
        <f>D64*E64</f>
        <v>0</v>
      </c>
      <c r="G64" s="40" t="s">
        <v>286</v>
      </c>
    </row>
    <row r="65" spans="1:7" ht="15.95" customHeight="1">
      <c r="A65" s="450" t="s">
        <v>331</v>
      </c>
      <c r="B65" s="49" t="s">
        <v>285</v>
      </c>
      <c r="C65" s="26"/>
      <c r="D65" s="6"/>
      <c r="E65" s="31"/>
      <c r="F65" s="451">
        <f t="shared" si="2"/>
        <v>0</v>
      </c>
      <c r="G65" s="40" t="s">
        <v>286</v>
      </c>
    </row>
    <row r="66" spans="1:7" ht="15.95" customHeight="1">
      <c r="A66" s="450" t="s">
        <v>332</v>
      </c>
      <c r="B66" s="37" t="s">
        <v>285</v>
      </c>
      <c r="C66" s="26"/>
      <c r="D66" s="6"/>
      <c r="E66" s="31"/>
      <c r="F66" s="451">
        <f t="shared" si="2"/>
        <v>0</v>
      </c>
      <c r="G66" s="40" t="s">
        <v>286</v>
      </c>
    </row>
    <row r="67" spans="1:7" ht="15.95" customHeight="1">
      <c r="A67" s="450" t="s">
        <v>333</v>
      </c>
      <c r="B67" s="37" t="s">
        <v>285</v>
      </c>
      <c r="C67" s="26"/>
      <c r="D67" s="6"/>
      <c r="E67" s="31"/>
      <c r="F67" s="451">
        <f t="shared" si="2"/>
        <v>0</v>
      </c>
      <c r="G67" s="40" t="s">
        <v>286</v>
      </c>
    </row>
    <row r="68" spans="1:7" ht="15.95" customHeight="1">
      <c r="A68" s="450" t="s">
        <v>334</v>
      </c>
      <c r="B68" s="37" t="s">
        <v>285</v>
      </c>
      <c r="C68" s="26"/>
      <c r="D68" s="6"/>
      <c r="E68" s="31"/>
      <c r="F68" s="451">
        <f t="shared" ref="F68" si="6">D68*E68</f>
        <v>0</v>
      </c>
      <c r="G68" s="40" t="s">
        <v>35</v>
      </c>
    </row>
    <row r="69" spans="1:7" ht="15.95" customHeight="1">
      <c r="A69" s="450" t="s">
        <v>335</v>
      </c>
      <c r="B69" s="37" t="s">
        <v>285</v>
      </c>
      <c r="C69" s="26"/>
      <c r="D69" s="6"/>
      <c r="E69" s="31"/>
      <c r="F69" s="451">
        <f t="shared" si="2"/>
        <v>0</v>
      </c>
      <c r="G69" s="40" t="s">
        <v>35</v>
      </c>
    </row>
    <row r="70" spans="1:7" ht="15.95" customHeight="1" thickBot="1">
      <c r="A70" s="452" t="s">
        <v>336</v>
      </c>
      <c r="B70" s="38" t="s">
        <v>285</v>
      </c>
      <c r="C70" s="28"/>
      <c r="D70" s="29"/>
      <c r="E70" s="32"/>
      <c r="F70" s="453">
        <f t="shared" ref="F70" si="7">D70*E70</f>
        <v>0</v>
      </c>
      <c r="G70" s="41" t="s">
        <v>35</v>
      </c>
    </row>
    <row r="71" spans="1:7" ht="18.75" thickBot="1">
      <c r="A71" s="460"/>
      <c r="B71" s="456"/>
      <c r="C71" s="457"/>
      <c r="D71" s="469"/>
      <c r="E71" s="479" t="s">
        <v>337</v>
      </c>
      <c r="F71" s="461">
        <f>SUM(F42:F70)</f>
        <v>0</v>
      </c>
      <c r="G71"/>
    </row>
    <row r="72" spans="1:7" ht="16.5" customHeight="1" thickBot="1">
      <c r="B72" s="456"/>
      <c r="C72" s="457"/>
      <c r="G72" s="462"/>
    </row>
    <row r="73" spans="1:7" ht="31.5" customHeight="1" thickBot="1">
      <c r="A73" s="478" t="s">
        <v>338</v>
      </c>
      <c r="B73" s="445" t="s">
        <v>25</v>
      </c>
      <c r="C73" s="445" t="s">
        <v>26</v>
      </c>
      <c r="D73" s="445" t="s">
        <v>27</v>
      </c>
      <c r="E73" s="463" t="s">
        <v>28</v>
      </c>
      <c r="F73" s="446" t="s">
        <v>29</v>
      </c>
      <c r="G73" s="447" t="s">
        <v>30</v>
      </c>
    </row>
    <row r="74" spans="1:7" ht="13.5" thickBot="1">
      <c r="A74" s="496"/>
      <c r="B74" s="497"/>
      <c r="C74" s="256"/>
      <c r="D74" s="256"/>
      <c r="E74" s="256"/>
      <c r="F74" s="256"/>
      <c r="G74" s="498"/>
    </row>
    <row r="75" spans="1:7" ht="15.95" customHeight="1">
      <c r="A75" s="448" t="s">
        <v>339</v>
      </c>
      <c r="B75" s="48" t="s">
        <v>285</v>
      </c>
      <c r="C75" s="23"/>
      <c r="D75" s="24"/>
      <c r="E75" s="30"/>
      <c r="F75" s="449">
        <f t="shared" ref="F75" si="8">D75*E75</f>
        <v>0</v>
      </c>
      <c r="G75" s="39" t="s">
        <v>286</v>
      </c>
    </row>
    <row r="76" spans="1:7" ht="15.95" customHeight="1">
      <c r="A76" s="450" t="s">
        <v>409</v>
      </c>
      <c r="B76" s="37" t="s">
        <v>285</v>
      </c>
      <c r="C76" s="26"/>
      <c r="D76" s="27"/>
      <c r="E76" s="31"/>
      <c r="F76" s="451">
        <f>D76*E76</f>
        <v>0</v>
      </c>
      <c r="G76" s="40" t="s">
        <v>286</v>
      </c>
    </row>
    <row r="77" spans="1:7" ht="15.95" customHeight="1">
      <c r="A77" s="450" t="s">
        <v>340</v>
      </c>
      <c r="B77" s="37" t="s">
        <v>285</v>
      </c>
      <c r="C77" s="26"/>
      <c r="D77" s="27"/>
      <c r="E77" s="31"/>
      <c r="F77" s="451">
        <f t="shared" ref="F77:F80" si="9">D77*E77</f>
        <v>0</v>
      </c>
      <c r="G77" s="40" t="s">
        <v>286</v>
      </c>
    </row>
    <row r="78" spans="1:7" ht="15.95" customHeight="1">
      <c r="A78" s="450" t="s">
        <v>341</v>
      </c>
      <c r="B78" s="37" t="s">
        <v>285</v>
      </c>
      <c r="C78" s="26"/>
      <c r="D78" s="27"/>
      <c r="E78" s="31"/>
      <c r="F78" s="451">
        <f t="shared" si="9"/>
        <v>0</v>
      </c>
      <c r="G78" s="40" t="s">
        <v>286</v>
      </c>
    </row>
    <row r="79" spans="1:7" ht="15.95" customHeight="1">
      <c r="A79" s="450" t="s">
        <v>342</v>
      </c>
      <c r="B79" s="37" t="s">
        <v>285</v>
      </c>
      <c r="C79" s="26"/>
      <c r="D79" s="27"/>
      <c r="E79" s="31"/>
      <c r="F79" s="451">
        <f t="shared" si="9"/>
        <v>0</v>
      </c>
      <c r="G79" s="40" t="s">
        <v>286</v>
      </c>
    </row>
    <row r="80" spans="1:7" ht="15.95" customHeight="1">
      <c r="A80" s="450" t="s">
        <v>343</v>
      </c>
      <c r="B80" s="37" t="s">
        <v>285</v>
      </c>
      <c r="C80" s="26"/>
      <c r="D80" s="27"/>
      <c r="E80" s="31"/>
      <c r="F80" s="451">
        <f t="shared" si="9"/>
        <v>0</v>
      </c>
      <c r="G80" s="40" t="s">
        <v>286</v>
      </c>
    </row>
    <row r="81" spans="1:8" ht="15.95" customHeight="1">
      <c r="A81" s="450" t="s">
        <v>344</v>
      </c>
      <c r="B81" s="37" t="s">
        <v>285</v>
      </c>
      <c r="C81" s="26"/>
      <c r="D81" s="27"/>
      <c r="E81" s="31"/>
      <c r="F81" s="451">
        <f t="shared" ref="F81" si="10">D81*E81</f>
        <v>0</v>
      </c>
      <c r="G81" s="40" t="s">
        <v>286</v>
      </c>
    </row>
    <row r="82" spans="1:8" ht="15.95" customHeight="1">
      <c r="A82" s="450" t="s">
        <v>345</v>
      </c>
      <c r="B82" s="37" t="s">
        <v>285</v>
      </c>
      <c r="C82" s="26"/>
      <c r="D82" s="27"/>
      <c r="E82" s="31"/>
      <c r="F82" s="451">
        <f t="shared" ref="F82" si="11">D82*E82</f>
        <v>0</v>
      </c>
      <c r="G82" s="40" t="s">
        <v>286</v>
      </c>
    </row>
    <row r="83" spans="1:8" ht="15.95" customHeight="1">
      <c r="A83" s="450" t="s">
        <v>346</v>
      </c>
      <c r="B83" s="37" t="s">
        <v>316</v>
      </c>
      <c r="C83" s="26"/>
      <c r="D83" s="27"/>
      <c r="E83" s="31"/>
      <c r="F83" s="451">
        <f t="shared" ref="F83" si="12">D83*E83</f>
        <v>0</v>
      </c>
      <c r="G83" s="40" t="s">
        <v>286</v>
      </c>
    </row>
    <row r="84" spans="1:8" ht="15.95" customHeight="1">
      <c r="A84" s="450" t="s">
        <v>347</v>
      </c>
      <c r="B84" s="37" t="s">
        <v>285</v>
      </c>
      <c r="C84" s="26"/>
      <c r="D84" s="27"/>
      <c r="E84" s="31"/>
      <c r="F84" s="451">
        <f t="shared" ref="F84" si="13">D84*E84</f>
        <v>0</v>
      </c>
      <c r="G84" s="40" t="s">
        <v>286</v>
      </c>
    </row>
    <row r="85" spans="1:8" ht="15.95" customHeight="1">
      <c r="A85" s="450" t="s">
        <v>348</v>
      </c>
      <c r="B85" s="37" t="s">
        <v>285</v>
      </c>
      <c r="C85" s="26"/>
      <c r="D85" s="27"/>
      <c r="E85" s="31"/>
      <c r="F85" s="451">
        <f>D85*E85</f>
        <v>0</v>
      </c>
      <c r="G85" s="40" t="s">
        <v>286</v>
      </c>
    </row>
    <row r="86" spans="1:8" ht="15.95" customHeight="1">
      <c r="A86" s="450" t="s">
        <v>349</v>
      </c>
      <c r="B86" s="37" t="s">
        <v>285</v>
      </c>
      <c r="C86" s="26"/>
      <c r="D86" s="27"/>
      <c r="E86" s="31"/>
      <c r="F86" s="451">
        <f>D86*E86</f>
        <v>0</v>
      </c>
      <c r="G86" s="40" t="s">
        <v>286</v>
      </c>
    </row>
    <row r="87" spans="1:8" ht="15.95" customHeight="1">
      <c r="A87" s="450" t="s">
        <v>350</v>
      </c>
      <c r="B87" s="37" t="s">
        <v>285</v>
      </c>
      <c r="C87" s="26"/>
      <c r="D87" s="27"/>
      <c r="E87" s="31"/>
      <c r="F87" s="451">
        <f>D87*E87</f>
        <v>0</v>
      </c>
      <c r="G87" s="40" t="s">
        <v>286</v>
      </c>
    </row>
    <row r="88" spans="1:8" ht="15.95" customHeight="1">
      <c r="A88" s="450" t="s">
        <v>351</v>
      </c>
      <c r="B88" s="37" t="s">
        <v>285</v>
      </c>
      <c r="C88" s="26"/>
      <c r="D88" s="27"/>
      <c r="E88" s="31"/>
      <c r="F88" s="451">
        <f>D88*E88</f>
        <v>0</v>
      </c>
      <c r="G88" s="40" t="s">
        <v>286</v>
      </c>
    </row>
    <row r="89" spans="1:8" ht="15.95" customHeight="1">
      <c r="A89" s="450" t="s">
        <v>352</v>
      </c>
      <c r="B89" s="37" t="s">
        <v>285</v>
      </c>
      <c r="C89" s="26"/>
      <c r="D89" s="27"/>
      <c r="E89" s="31"/>
      <c r="F89" s="451">
        <f t="shared" ref="F89:F90" si="14">D89*E89</f>
        <v>0</v>
      </c>
      <c r="G89" s="40" t="s">
        <v>286</v>
      </c>
    </row>
    <row r="90" spans="1:8" ht="15.95" customHeight="1">
      <c r="A90" s="450" t="s">
        <v>353</v>
      </c>
      <c r="B90" s="37" t="s">
        <v>285</v>
      </c>
      <c r="C90" s="26"/>
      <c r="D90" s="27"/>
      <c r="E90" s="31"/>
      <c r="F90" s="451">
        <f t="shared" si="14"/>
        <v>0</v>
      </c>
      <c r="G90" s="40" t="s">
        <v>286</v>
      </c>
    </row>
    <row r="91" spans="1:8" ht="15.95" customHeight="1">
      <c r="A91" s="450" t="s">
        <v>354</v>
      </c>
      <c r="B91" s="37" t="s">
        <v>285</v>
      </c>
      <c r="C91" s="26"/>
      <c r="D91" s="27"/>
      <c r="E91" s="31"/>
      <c r="F91" s="451">
        <f t="shared" si="2"/>
        <v>0</v>
      </c>
      <c r="G91" s="40" t="s">
        <v>286</v>
      </c>
    </row>
    <row r="92" spans="1:8" ht="15.95" customHeight="1">
      <c r="A92" s="450" t="s">
        <v>355</v>
      </c>
      <c r="B92" s="37" t="s">
        <v>285</v>
      </c>
      <c r="C92" s="26"/>
      <c r="D92" s="27"/>
      <c r="E92" s="31"/>
      <c r="F92" s="451">
        <f t="shared" ref="F92:F93" si="15">D92*E92</f>
        <v>0</v>
      </c>
      <c r="G92" s="40" t="s">
        <v>286</v>
      </c>
    </row>
    <row r="93" spans="1:8" ht="15.95" customHeight="1">
      <c r="A93" s="450" t="s">
        <v>356</v>
      </c>
      <c r="B93" s="37" t="s">
        <v>285</v>
      </c>
      <c r="C93" s="26"/>
      <c r="D93" s="27"/>
      <c r="E93" s="31"/>
      <c r="F93" s="451">
        <f t="shared" si="15"/>
        <v>0</v>
      </c>
      <c r="G93" s="40" t="s">
        <v>286</v>
      </c>
      <c r="H93" t="s">
        <v>357</v>
      </c>
    </row>
    <row r="94" spans="1:8" ht="15.95" customHeight="1" thickBot="1">
      <c r="A94" s="452" t="s">
        <v>358</v>
      </c>
      <c r="B94" s="38" t="s">
        <v>285</v>
      </c>
      <c r="C94" s="28"/>
      <c r="D94" s="29"/>
      <c r="E94" s="32"/>
      <c r="F94" s="453">
        <f t="shared" ref="F94" si="16">D94*E94</f>
        <v>0</v>
      </c>
      <c r="G94" s="41" t="s">
        <v>286</v>
      </c>
    </row>
    <row r="95" spans="1:8" ht="18.75" thickBot="1">
      <c r="A95" s="460"/>
      <c r="B95" s="456"/>
      <c r="C95" s="457"/>
      <c r="D95" s="469"/>
      <c r="E95" s="479" t="s">
        <v>337</v>
      </c>
      <c r="F95" s="461">
        <f>SUM(F75:F94)</f>
        <v>0</v>
      </c>
      <c r="G95"/>
    </row>
    <row r="96" spans="1:8" ht="16.5" customHeight="1" thickBot="1">
      <c r="B96" s="456"/>
      <c r="C96" s="457"/>
      <c r="G96" s="462"/>
    </row>
    <row r="97" spans="1:9" ht="31.5" customHeight="1" thickBot="1">
      <c r="A97" s="478" t="s">
        <v>359</v>
      </c>
      <c r="B97" s="445" t="s">
        <v>25</v>
      </c>
      <c r="C97" s="445" t="s">
        <v>26</v>
      </c>
      <c r="D97" s="445" t="s">
        <v>27</v>
      </c>
      <c r="E97" s="463" t="s">
        <v>28</v>
      </c>
      <c r="F97" s="446" t="s">
        <v>29</v>
      </c>
      <c r="G97" s="447" t="s">
        <v>30</v>
      </c>
      <c r="I97" t="s">
        <v>32</v>
      </c>
    </row>
    <row r="98" spans="1:9" ht="13.5" thickBot="1">
      <c r="A98" s="496"/>
      <c r="B98" s="497"/>
      <c r="C98" s="256"/>
      <c r="D98" s="256"/>
      <c r="E98" s="256"/>
      <c r="F98" s="256"/>
      <c r="G98" s="498"/>
    </row>
    <row r="99" spans="1:9" ht="15.95" customHeight="1">
      <c r="A99" s="448" t="s">
        <v>360</v>
      </c>
      <c r="B99" s="48" t="s">
        <v>288</v>
      </c>
      <c r="C99" s="23"/>
      <c r="D99" s="24"/>
      <c r="E99" s="30"/>
      <c r="F99" s="470">
        <f>D99*E99</f>
        <v>0</v>
      </c>
      <c r="G99" s="39" t="s">
        <v>35</v>
      </c>
    </row>
    <row r="100" spans="1:9" ht="15.95" customHeight="1">
      <c r="A100" s="450" t="s">
        <v>411</v>
      </c>
      <c r="B100" s="37" t="s">
        <v>288</v>
      </c>
      <c r="C100" s="26"/>
      <c r="D100" s="27"/>
      <c r="E100" s="31"/>
      <c r="F100" s="471">
        <f>D100*E100</f>
        <v>0</v>
      </c>
      <c r="G100" s="40" t="s">
        <v>286</v>
      </c>
    </row>
    <row r="101" spans="1:9" ht="15.95" customHeight="1">
      <c r="A101" s="450" t="s">
        <v>361</v>
      </c>
      <c r="B101" s="37" t="s">
        <v>285</v>
      </c>
      <c r="C101" s="26"/>
      <c r="D101" s="27"/>
      <c r="E101" s="31"/>
      <c r="F101" s="471">
        <f t="shared" ref="F101" si="17">D101*E101</f>
        <v>0</v>
      </c>
      <c r="G101" s="40" t="s">
        <v>286</v>
      </c>
    </row>
    <row r="102" spans="1:9" ht="15.95" customHeight="1" thickBot="1">
      <c r="A102" s="452" t="s">
        <v>362</v>
      </c>
      <c r="B102" s="38" t="s">
        <v>285</v>
      </c>
      <c r="C102" s="28"/>
      <c r="D102" s="29"/>
      <c r="E102" s="32"/>
      <c r="F102" s="472">
        <f>D102*E102</f>
        <v>0</v>
      </c>
      <c r="G102" s="41" t="s">
        <v>35</v>
      </c>
    </row>
    <row r="103" spans="1:9" ht="18.75" thickBot="1">
      <c r="A103" s="460"/>
      <c r="B103" s="456"/>
      <c r="C103" s="457"/>
      <c r="D103" s="469"/>
      <c r="E103" s="479" t="s">
        <v>337</v>
      </c>
      <c r="F103" s="461">
        <f>SUM(F99:F102)</f>
        <v>0</v>
      </c>
      <c r="G103"/>
    </row>
    <row r="104" spans="1:9" ht="16.5" customHeight="1" thickBot="1">
      <c r="B104" s="456"/>
      <c r="C104" s="457"/>
      <c r="G104" s="462"/>
    </row>
    <row r="105" spans="1:9" ht="31.5" customHeight="1" thickBot="1">
      <c r="A105" s="478" t="s">
        <v>518</v>
      </c>
      <c r="B105" s="445" t="s">
        <v>25</v>
      </c>
      <c r="C105" s="445" t="s">
        <v>26</v>
      </c>
      <c r="D105" s="445" t="s">
        <v>27</v>
      </c>
      <c r="E105" s="463" t="s">
        <v>28</v>
      </c>
      <c r="F105" s="446" t="s">
        <v>29</v>
      </c>
      <c r="G105" s="447" t="s">
        <v>30</v>
      </c>
      <c r="I105" t="s">
        <v>32</v>
      </c>
    </row>
    <row r="106" spans="1:9" ht="13.5" thickBot="1">
      <c r="A106" s="496"/>
      <c r="B106" s="497"/>
      <c r="C106" s="256"/>
      <c r="D106" s="256"/>
      <c r="E106" s="256"/>
      <c r="F106" s="256"/>
      <c r="G106" s="498"/>
    </row>
    <row r="107" spans="1:9" ht="15.95" customHeight="1">
      <c r="A107" s="473" t="s">
        <v>410</v>
      </c>
      <c r="B107" s="50" t="s">
        <v>285</v>
      </c>
      <c r="C107" s="51"/>
      <c r="D107" s="52"/>
      <c r="E107" s="53"/>
      <c r="F107" s="449">
        <f>D107*E107</f>
        <v>0</v>
      </c>
      <c r="G107" s="39" t="s">
        <v>35</v>
      </c>
    </row>
    <row r="108" spans="1:9" ht="15.95" customHeight="1">
      <c r="A108" s="450" t="s">
        <v>415</v>
      </c>
      <c r="B108" s="37" t="s">
        <v>288</v>
      </c>
      <c r="C108" s="26"/>
      <c r="D108" s="27"/>
      <c r="E108" s="31"/>
      <c r="F108" s="451">
        <f>D108*E108</f>
        <v>0</v>
      </c>
      <c r="G108" s="173" t="s">
        <v>35</v>
      </c>
    </row>
    <row r="109" spans="1:9" ht="15.95" customHeight="1">
      <c r="A109" s="46"/>
      <c r="B109" s="37" t="s">
        <v>288</v>
      </c>
      <c r="C109" s="26"/>
      <c r="D109" s="27"/>
      <c r="E109" s="31"/>
      <c r="F109" s="451">
        <f t="shared" ref="F109:F113" si="18">D109*E109</f>
        <v>0</v>
      </c>
      <c r="G109" s="45"/>
    </row>
    <row r="110" spans="1:9" ht="15.95" customHeight="1">
      <c r="A110" s="46"/>
      <c r="B110" s="37" t="s">
        <v>285</v>
      </c>
      <c r="C110" s="26"/>
      <c r="D110" s="27"/>
      <c r="E110" s="31"/>
      <c r="F110" s="451">
        <f t="shared" si="18"/>
        <v>0</v>
      </c>
      <c r="G110" s="45"/>
    </row>
    <row r="111" spans="1:9" ht="15.95" customHeight="1">
      <c r="A111" s="46"/>
      <c r="B111" s="37" t="s">
        <v>288</v>
      </c>
      <c r="C111" s="26"/>
      <c r="D111" s="27"/>
      <c r="E111" s="31"/>
      <c r="F111" s="451">
        <f t="shared" si="18"/>
        <v>0</v>
      </c>
      <c r="G111" s="45"/>
    </row>
    <row r="112" spans="1:9" ht="15.95" customHeight="1">
      <c r="A112" s="46"/>
      <c r="B112" s="37" t="s">
        <v>288</v>
      </c>
      <c r="C112" s="26"/>
      <c r="D112" s="27"/>
      <c r="E112" s="31"/>
      <c r="F112" s="451">
        <f t="shared" si="18"/>
        <v>0</v>
      </c>
      <c r="G112" s="173"/>
    </row>
    <row r="113" spans="1:7" ht="15.95" customHeight="1">
      <c r="A113" s="46"/>
      <c r="B113" s="37" t="s">
        <v>288</v>
      </c>
      <c r="C113" s="26"/>
      <c r="D113" s="27"/>
      <c r="E113" s="31"/>
      <c r="F113" s="451">
        <f t="shared" si="18"/>
        <v>0</v>
      </c>
      <c r="G113" s="45"/>
    </row>
    <row r="114" spans="1:7" ht="15.95" customHeight="1">
      <c r="A114" s="46"/>
      <c r="B114" s="37" t="s">
        <v>288</v>
      </c>
      <c r="C114" s="26"/>
      <c r="D114" s="27"/>
      <c r="E114" s="31"/>
      <c r="F114" s="451">
        <f t="shared" ref="F114:F116" si="19">D114*E114</f>
        <v>0</v>
      </c>
      <c r="G114" s="45"/>
    </row>
    <row r="115" spans="1:7" ht="15.95" customHeight="1">
      <c r="A115" s="46"/>
      <c r="B115" s="37" t="s">
        <v>288</v>
      </c>
      <c r="C115" s="26"/>
      <c r="D115" s="27"/>
      <c r="E115" s="31"/>
      <c r="F115" s="451">
        <f>D115*E115</f>
        <v>0</v>
      </c>
      <c r="G115" s="45"/>
    </row>
    <row r="116" spans="1:7" ht="15.95" customHeight="1">
      <c r="A116" s="46"/>
      <c r="B116" s="37"/>
      <c r="C116" s="26"/>
      <c r="D116" s="27"/>
      <c r="E116" s="31"/>
      <c r="F116" s="451">
        <f t="shared" si="19"/>
        <v>0</v>
      </c>
      <c r="G116" s="45"/>
    </row>
    <row r="117" spans="1:7" ht="15.95" customHeight="1">
      <c r="A117" s="46"/>
      <c r="B117" s="37"/>
      <c r="C117" s="26"/>
      <c r="D117" s="27"/>
      <c r="E117" s="31"/>
      <c r="F117" s="451">
        <f t="shared" ref="F117:F119" si="20">D117*E117</f>
        <v>0</v>
      </c>
      <c r="G117" s="40"/>
    </row>
    <row r="118" spans="1:7" ht="15.95" customHeight="1">
      <c r="A118" s="46"/>
      <c r="B118" s="37"/>
      <c r="C118" s="26"/>
      <c r="D118" s="27"/>
      <c r="E118" s="31"/>
      <c r="F118" s="451">
        <f t="shared" si="20"/>
        <v>0</v>
      </c>
      <c r="G118" s="40"/>
    </row>
    <row r="119" spans="1:7" ht="15.95" customHeight="1" thickBot="1">
      <c r="A119" s="47"/>
      <c r="B119" s="38"/>
      <c r="C119" s="28"/>
      <c r="D119" s="29"/>
      <c r="E119" s="32"/>
      <c r="F119" s="453">
        <f t="shared" si="20"/>
        <v>0</v>
      </c>
      <c r="G119" s="41"/>
    </row>
    <row r="120" spans="1:7" ht="18.75" thickBot="1">
      <c r="A120" s="460"/>
      <c r="B120" s="456"/>
      <c r="C120" s="457"/>
      <c r="D120" s="469"/>
      <c r="E120" s="479" t="s">
        <v>337</v>
      </c>
      <c r="F120" s="461">
        <f>SUM(F107:F119)</f>
        <v>0</v>
      </c>
      <c r="G120"/>
    </row>
    <row r="121" spans="1:7" ht="16.5" customHeight="1" thickBot="1">
      <c r="B121" s="456"/>
      <c r="C121" s="457"/>
      <c r="G121" s="462"/>
    </row>
    <row r="122" spans="1:7" ht="25.5" customHeight="1" thickBot="1">
      <c r="A122" s="594" t="s">
        <v>363</v>
      </c>
      <c r="B122" s="594"/>
      <c r="C122" s="594"/>
      <c r="D122" s="594"/>
      <c r="E122" s="595"/>
      <c r="F122" s="477">
        <f>SUM(F120,F103,F95,F71,F38)</f>
        <v>0</v>
      </c>
      <c r="G122" s="476"/>
    </row>
  </sheetData>
  <sheetProtection algorithmName="SHA-512" hashValue="DlQDwU5T0mTu4Y3pF6YdJCh+lxHhZr+EO9XJnprUXPQXBUN82N+RwHW/U5qrrtLptTh8BDKsfEYkGXc+vrLDYA==" saltValue="K5OyyxLh3vq8tZFAss8T+w==" spinCount="100000" sheet="1" objects="1" scenarios="1" selectLockedCells="1"/>
  <mergeCells count="1">
    <mergeCell ref="A122:E122"/>
  </mergeCells>
  <phoneticPr fontId="64"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topLeftCell="A25" zoomScaleNormal="100" workbookViewId="0"/>
  </sheetViews>
  <sheetFormatPr defaultRowHeight="12.75"/>
  <sheetData/>
  <sheetProtection selectLockedCells="1" selectUnlockedCells="1"/>
  <phoneticPr fontId="14" type="noConversion"/>
  <pageMargins left="0.7" right="0.7" top="0.75" bottom="0.75" header="0.3" footer="0.3"/>
  <pageSetup scale="63" orientation="landscape"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U238"/>
  <sheetViews>
    <sheetView zoomScale="70" zoomScaleNormal="70" workbookViewId="0">
      <pane ySplit="1" topLeftCell="A2" activePane="bottomLeft" state="frozen"/>
      <selection pane="bottomLeft" activeCell="F136" sqref="F136"/>
    </sheetView>
  </sheetViews>
  <sheetFormatPr defaultColWidth="9.140625" defaultRowHeight="16.5"/>
  <cols>
    <col min="1" max="1" width="30.7109375" style="121" customWidth="1"/>
    <col min="2" max="2" width="22.7109375" style="132" customWidth="1"/>
    <col min="3" max="3" width="27.42578125" style="167" bestFit="1" customWidth="1"/>
    <col min="4" max="4" width="22.7109375" style="167" customWidth="1"/>
    <col min="5" max="11" width="22.7109375" style="121" customWidth="1"/>
    <col min="12" max="12" width="30.7109375" style="501" customWidth="1"/>
    <col min="13" max="13" width="13.7109375" style="121" bestFit="1" customWidth="1"/>
    <col min="14" max="16384" width="9.140625" style="121"/>
  </cols>
  <sheetData>
    <row r="1" spans="1:12" s="113" customFormat="1" ht="41.25" customHeight="1">
      <c r="A1" s="109" t="str">
        <f>'Inv Totals'!B3</f>
        <v>Texas de Brazil - Tokyo JP</v>
      </c>
      <c r="B1" s="110" t="s">
        <v>364</v>
      </c>
      <c r="C1" s="111" t="s">
        <v>365</v>
      </c>
      <c r="D1" s="112" t="s">
        <v>366</v>
      </c>
      <c r="E1" s="111" t="s">
        <v>367</v>
      </c>
      <c r="F1" s="111" t="s">
        <v>368</v>
      </c>
      <c r="G1" s="111" t="s">
        <v>369</v>
      </c>
      <c r="H1" s="111" t="s">
        <v>370</v>
      </c>
      <c r="I1" s="111" t="s">
        <v>371</v>
      </c>
      <c r="J1" s="111" t="s">
        <v>372</v>
      </c>
      <c r="K1" s="111" t="s">
        <v>373</v>
      </c>
      <c r="L1" s="504" t="s">
        <v>530</v>
      </c>
    </row>
    <row r="2" spans="1:12" ht="24.95" customHeight="1">
      <c r="A2" s="114">
        <f>'Inv Totals'!B1</f>
        <v>45931</v>
      </c>
      <c r="B2" s="115"/>
      <c r="C2" s="116"/>
      <c r="D2" s="117"/>
      <c r="E2" s="118"/>
      <c r="F2" s="118"/>
      <c r="G2" s="118"/>
      <c r="H2" s="119"/>
      <c r="I2" s="119"/>
      <c r="J2" s="119"/>
      <c r="K2" s="120"/>
      <c r="L2" s="503"/>
    </row>
    <row r="3" spans="1:12" s="125" customFormat="1" ht="24.75" hidden="1" customHeight="1">
      <c r="A3" s="620"/>
      <c r="B3" s="621"/>
      <c r="C3" s="621"/>
      <c r="D3" s="621"/>
      <c r="E3" s="621"/>
      <c r="F3" s="621"/>
      <c r="G3" s="621"/>
      <c r="H3" s="621"/>
      <c r="I3" s="621"/>
      <c r="J3" s="621"/>
      <c r="K3" s="622"/>
      <c r="L3" s="506"/>
    </row>
    <row r="4" spans="1:12" s="125" customFormat="1" ht="24.75" hidden="1" customHeight="1">
      <c r="A4" s="623"/>
      <c r="B4" s="624"/>
      <c r="C4" s="624"/>
      <c r="D4" s="624"/>
      <c r="E4" s="624"/>
      <c r="F4" s="624"/>
      <c r="G4" s="624"/>
      <c r="H4" s="624"/>
      <c r="I4" s="624"/>
      <c r="J4" s="624"/>
      <c r="K4" s="625"/>
      <c r="L4" s="506"/>
    </row>
    <row r="5" spans="1:12" s="125" customFormat="1" ht="24.75" hidden="1" customHeight="1">
      <c r="A5" s="623"/>
      <c r="B5" s="624"/>
      <c r="C5" s="624"/>
      <c r="D5" s="624"/>
      <c r="E5" s="624"/>
      <c r="F5" s="624"/>
      <c r="G5" s="624"/>
      <c r="H5" s="624"/>
      <c r="I5" s="624"/>
      <c r="J5" s="624"/>
      <c r="K5" s="625"/>
      <c r="L5" s="506"/>
    </row>
    <row r="6" spans="1:12" s="125" customFormat="1" ht="24.75" hidden="1" customHeight="1">
      <c r="A6" s="623"/>
      <c r="B6" s="624"/>
      <c r="C6" s="624"/>
      <c r="D6" s="624"/>
      <c r="E6" s="624"/>
      <c r="F6" s="624"/>
      <c r="G6" s="624"/>
      <c r="H6" s="624"/>
      <c r="I6" s="624"/>
      <c r="J6" s="624"/>
      <c r="K6" s="625"/>
      <c r="L6" s="506"/>
    </row>
    <row r="7" spans="1:12" s="125" customFormat="1" ht="24.75" hidden="1" customHeight="1">
      <c r="A7" s="623"/>
      <c r="B7" s="624"/>
      <c r="C7" s="624"/>
      <c r="D7" s="624"/>
      <c r="E7" s="624"/>
      <c r="F7" s="624"/>
      <c r="G7" s="624"/>
      <c r="H7" s="624"/>
      <c r="I7" s="624"/>
      <c r="J7" s="624"/>
      <c r="K7" s="625"/>
      <c r="L7" s="506"/>
    </row>
    <row r="8" spans="1:12" s="125" customFormat="1" ht="24.75" hidden="1" customHeight="1">
      <c r="A8" s="623"/>
      <c r="B8" s="624"/>
      <c r="C8" s="624"/>
      <c r="D8" s="624"/>
      <c r="E8" s="624"/>
      <c r="F8" s="624"/>
      <c r="G8" s="624"/>
      <c r="H8" s="624"/>
      <c r="I8" s="624"/>
      <c r="J8" s="624"/>
      <c r="K8" s="625"/>
      <c r="L8" s="506"/>
    </row>
    <row r="9" spans="1:12" s="125" customFormat="1" ht="24.75" hidden="1" customHeight="1">
      <c r="A9" s="623"/>
      <c r="B9" s="624"/>
      <c r="C9" s="624"/>
      <c r="D9" s="624"/>
      <c r="E9" s="624"/>
      <c r="F9" s="624"/>
      <c r="G9" s="624"/>
      <c r="H9" s="624"/>
      <c r="I9" s="624"/>
      <c r="J9" s="624"/>
      <c r="K9" s="625"/>
      <c r="L9" s="506"/>
    </row>
    <row r="10" spans="1:12" s="125" customFormat="1" ht="24.75" hidden="1" customHeight="1">
      <c r="A10" s="623"/>
      <c r="B10" s="624"/>
      <c r="C10" s="624"/>
      <c r="D10" s="624"/>
      <c r="E10" s="624"/>
      <c r="F10" s="624"/>
      <c r="G10" s="624"/>
      <c r="H10" s="624"/>
      <c r="I10" s="624"/>
      <c r="J10" s="624"/>
      <c r="K10" s="625"/>
      <c r="L10" s="506"/>
    </row>
    <row r="11" spans="1:12" s="125" customFormat="1" ht="24.75" hidden="1" customHeight="1">
      <c r="A11" s="623"/>
      <c r="B11" s="624"/>
      <c r="C11" s="624"/>
      <c r="D11" s="624"/>
      <c r="E11" s="624"/>
      <c r="F11" s="624"/>
      <c r="G11" s="624"/>
      <c r="H11" s="624"/>
      <c r="I11" s="624"/>
      <c r="J11" s="624"/>
      <c r="K11" s="625"/>
      <c r="L11" s="506"/>
    </row>
    <row r="12" spans="1:12" s="125" customFormat="1" ht="24.75" hidden="1" customHeight="1">
      <c r="A12" s="623"/>
      <c r="B12" s="624"/>
      <c r="C12" s="624"/>
      <c r="D12" s="624"/>
      <c r="E12" s="624"/>
      <c r="F12" s="624"/>
      <c r="G12" s="624"/>
      <c r="H12" s="624"/>
      <c r="I12" s="624"/>
      <c r="J12" s="624"/>
      <c r="K12" s="625"/>
      <c r="L12" s="506"/>
    </row>
    <row r="13" spans="1:12" s="125" customFormat="1" ht="24.75" hidden="1" customHeight="1">
      <c r="A13" s="623"/>
      <c r="B13" s="624"/>
      <c r="C13" s="624"/>
      <c r="D13" s="624"/>
      <c r="E13" s="624"/>
      <c r="F13" s="624"/>
      <c r="G13" s="624"/>
      <c r="H13" s="624"/>
      <c r="I13" s="624"/>
      <c r="J13" s="624"/>
      <c r="K13" s="625"/>
      <c r="L13" s="506"/>
    </row>
    <row r="14" spans="1:12" s="125" customFormat="1" ht="24.75" hidden="1" customHeight="1">
      <c r="A14" s="623"/>
      <c r="B14" s="624"/>
      <c r="C14" s="624"/>
      <c r="D14" s="624"/>
      <c r="E14" s="624"/>
      <c r="F14" s="624"/>
      <c r="G14" s="624"/>
      <c r="H14" s="624"/>
      <c r="I14" s="624"/>
      <c r="J14" s="624"/>
      <c r="K14" s="625"/>
      <c r="L14" s="506"/>
    </row>
    <row r="15" spans="1:12" s="125" customFormat="1" ht="24.75" hidden="1" customHeight="1">
      <c r="A15" s="623"/>
      <c r="B15" s="624"/>
      <c r="C15" s="624"/>
      <c r="D15" s="624"/>
      <c r="E15" s="624"/>
      <c r="F15" s="624"/>
      <c r="G15" s="624"/>
      <c r="H15" s="624"/>
      <c r="I15" s="624"/>
      <c r="J15" s="624"/>
      <c r="K15" s="625"/>
      <c r="L15" s="506"/>
    </row>
    <row r="16" spans="1:12" s="125" customFormat="1" ht="24.75" hidden="1" customHeight="1">
      <c r="A16" s="623"/>
      <c r="B16" s="624"/>
      <c r="C16" s="624"/>
      <c r="D16" s="624"/>
      <c r="E16" s="624"/>
      <c r="F16" s="624"/>
      <c r="G16" s="624"/>
      <c r="H16" s="624"/>
      <c r="I16" s="624"/>
      <c r="J16" s="624"/>
      <c r="K16" s="625"/>
      <c r="L16" s="506"/>
    </row>
    <row r="17" spans="1:12" s="125" customFormat="1" ht="24.75" hidden="1" customHeight="1">
      <c r="A17" s="623"/>
      <c r="B17" s="624"/>
      <c r="C17" s="624"/>
      <c r="D17" s="624"/>
      <c r="E17" s="624"/>
      <c r="F17" s="624"/>
      <c r="G17" s="624"/>
      <c r="H17" s="624"/>
      <c r="I17" s="624"/>
      <c r="J17" s="624"/>
      <c r="K17" s="625"/>
      <c r="L17" s="506"/>
    </row>
    <row r="18" spans="1:12" s="125" customFormat="1" ht="24.75" hidden="1" customHeight="1">
      <c r="A18" s="623"/>
      <c r="B18" s="624"/>
      <c r="C18" s="624"/>
      <c r="D18" s="624"/>
      <c r="E18" s="624"/>
      <c r="F18" s="624"/>
      <c r="G18" s="624"/>
      <c r="H18" s="624"/>
      <c r="I18" s="624"/>
      <c r="J18" s="624"/>
      <c r="K18" s="625"/>
      <c r="L18" s="506"/>
    </row>
    <row r="19" spans="1:12" s="125" customFormat="1" ht="24.75" hidden="1" customHeight="1">
      <c r="A19" s="623"/>
      <c r="B19" s="624"/>
      <c r="C19" s="624"/>
      <c r="D19" s="624"/>
      <c r="E19" s="624"/>
      <c r="F19" s="624"/>
      <c r="G19" s="624"/>
      <c r="H19" s="624"/>
      <c r="I19" s="624"/>
      <c r="J19" s="624"/>
      <c r="K19" s="625"/>
      <c r="L19" s="506"/>
    </row>
    <row r="20" spans="1:12" s="125" customFormat="1" ht="24.75" hidden="1" customHeight="1">
      <c r="A20" s="623"/>
      <c r="B20" s="624"/>
      <c r="C20" s="624"/>
      <c r="D20" s="624"/>
      <c r="E20" s="624"/>
      <c r="F20" s="624"/>
      <c r="G20" s="624"/>
      <c r="H20" s="624"/>
      <c r="I20" s="624"/>
      <c r="J20" s="624"/>
      <c r="K20" s="625"/>
      <c r="L20" s="506"/>
    </row>
    <row r="21" spans="1:12" s="125" customFormat="1" ht="24.75" hidden="1" customHeight="1">
      <c r="A21" s="623"/>
      <c r="B21" s="624"/>
      <c r="C21" s="624"/>
      <c r="D21" s="624"/>
      <c r="E21" s="624"/>
      <c r="F21" s="624"/>
      <c r="G21" s="624"/>
      <c r="H21" s="624"/>
      <c r="I21" s="624"/>
      <c r="J21" s="624"/>
      <c r="K21" s="625"/>
      <c r="L21" s="506"/>
    </row>
    <row r="22" spans="1:12" s="125" customFormat="1" ht="24.75" hidden="1" customHeight="1">
      <c r="A22" s="623"/>
      <c r="B22" s="624"/>
      <c r="C22" s="624"/>
      <c r="D22" s="624"/>
      <c r="E22" s="624"/>
      <c r="F22" s="624"/>
      <c r="G22" s="624"/>
      <c r="H22" s="624"/>
      <c r="I22" s="624"/>
      <c r="J22" s="624"/>
      <c r="K22" s="625"/>
      <c r="L22" s="506"/>
    </row>
    <row r="23" spans="1:12" s="125" customFormat="1" ht="24.75" hidden="1" customHeight="1">
      <c r="A23" s="623"/>
      <c r="B23" s="624"/>
      <c r="C23" s="624"/>
      <c r="D23" s="624"/>
      <c r="E23" s="624"/>
      <c r="F23" s="624"/>
      <c r="G23" s="624"/>
      <c r="H23" s="624"/>
      <c r="I23" s="624"/>
      <c r="J23" s="624"/>
      <c r="K23" s="625"/>
      <c r="L23" s="506"/>
    </row>
    <row r="24" spans="1:12" s="125" customFormat="1" ht="24.75" hidden="1" customHeight="1">
      <c r="A24" s="623"/>
      <c r="B24" s="624"/>
      <c r="C24" s="624"/>
      <c r="D24" s="624"/>
      <c r="E24" s="624"/>
      <c r="F24" s="624"/>
      <c r="G24" s="624"/>
      <c r="H24" s="624"/>
      <c r="I24" s="624"/>
      <c r="J24" s="624"/>
      <c r="K24" s="625"/>
      <c r="L24" s="506"/>
    </row>
    <row r="25" spans="1:12" s="125" customFormat="1" ht="24.75" hidden="1" customHeight="1">
      <c r="A25" s="623"/>
      <c r="B25" s="624"/>
      <c r="C25" s="624"/>
      <c r="D25" s="624"/>
      <c r="E25" s="624"/>
      <c r="F25" s="624"/>
      <c r="G25" s="624"/>
      <c r="H25" s="624"/>
      <c r="I25" s="624"/>
      <c r="J25" s="624"/>
      <c r="K25" s="625"/>
      <c r="L25" s="506"/>
    </row>
    <row r="26" spans="1:12" s="125" customFormat="1" ht="24.75" hidden="1" customHeight="1">
      <c r="A26" s="623"/>
      <c r="B26" s="624"/>
      <c r="C26" s="624"/>
      <c r="D26" s="624"/>
      <c r="E26" s="624"/>
      <c r="F26" s="624"/>
      <c r="G26" s="624"/>
      <c r="H26" s="624"/>
      <c r="I26" s="624"/>
      <c r="J26" s="624"/>
      <c r="K26" s="625"/>
      <c r="L26" s="506"/>
    </row>
    <row r="27" spans="1:12" s="125" customFormat="1" ht="24.75" hidden="1" customHeight="1">
      <c r="A27" s="623"/>
      <c r="B27" s="624"/>
      <c r="C27" s="624"/>
      <c r="D27" s="624"/>
      <c r="E27" s="624"/>
      <c r="F27" s="624"/>
      <c r="G27" s="624"/>
      <c r="H27" s="624"/>
      <c r="I27" s="624"/>
      <c r="J27" s="624"/>
      <c r="K27" s="625"/>
      <c r="L27" s="506"/>
    </row>
    <row r="28" spans="1:12" s="125" customFormat="1" ht="24.75" hidden="1" customHeight="1">
      <c r="A28" s="623"/>
      <c r="B28" s="624"/>
      <c r="C28" s="624"/>
      <c r="D28" s="624"/>
      <c r="E28" s="624"/>
      <c r="F28" s="624"/>
      <c r="G28" s="624"/>
      <c r="H28" s="624"/>
      <c r="I28" s="624"/>
      <c r="J28" s="624"/>
      <c r="K28" s="625"/>
      <c r="L28" s="506"/>
    </row>
    <row r="29" spans="1:12" s="125" customFormat="1" ht="24.75" hidden="1" customHeight="1">
      <c r="A29" s="623"/>
      <c r="B29" s="624"/>
      <c r="C29" s="624"/>
      <c r="D29" s="624"/>
      <c r="E29" s="624"/>
      <c r="F29" s="624"/>
      <c r="G29" s="624"/>
      <c r="H29" s="624"/>
      <c r="I29" s="624"/>
      <c r="J29" s="624"/>
      <c r="K29" s="625"/>
      <c r="L29" s="506"/>
    </row>
    <row r="30" spans="1:12" s="125" customFormat="1" ht="24.75" hidden="1" customHeight="1">
      <c r="A30" s="623"/>
      <c r="B30" s="624"/>
      <c r="C30" s="624"/>
      <c r="D30" s="624"/>
      <c r="E30" s="624"/>
      <c r="F30" s="624"/>
      <c r="G30" s="624"/>
      <c r="H30" s="624"/>
      <c r="I30" s="624"/>
      <c r="J30" s="624"/>
      <c r="K30" s="625"/>
      <c r="L30" s="506"/>
    </row>
    <row r="31" spans="1:12" s="125" customFormat="1" ht="24.75" hidden="1" customHeight="1">
      <c r="A31" s="623"/>
      <c r="B31" s="624"/>
      <c r="C31" s="624"/>
      <c r="D31" s="624"/>
      <c r="E31" s="624"/>
      <c r="F31" s="624"/>
      <c r="G31" s="624"/>
      <c r="H31" s="624"/>
      <c r="I31" s="624"/>
      <c r="J31" s="624"/>
      <c r="K31" s="625"/>
      <c r="L31" s="506"/>
    </row>
    <row r="32" spans="1:12" s="125" customFormat="1" ht="24.75" hidden="1" customHeight="1">
      <c r="A32" s="623"/>
      <c r="B32" s="624"/>
      <c r="C32" s="624"/>
      <c r="D32" s="624"/>
      <c r="E32" s="624"/>
      <c r="F32" s="624"/>
      <c r="G32" s="624"/>
      <c r="H32" s="624"/>
      <c r="I32" s="624"/>
      <c r="J32" s="624"/>
      <c r="K32" s="625"/>
      <c r="L32" s="506"/>
    </row>
    <row r="33" spans="1:12" s="125" customFormat="1" ht="24.75" hidden="1" customHeight="1">
      <c r="A33" s="623"/>
      <c r="B33" s="624"/>
      <c r="C33" s="624"/>
      <c r="D33" s="624"/>
      <c r="E33" s="624"/>
      <c r="F33" s="624"/>
      <c r="G33" s="624"/>
      <c r="H33" s="624"/>
      <c r="I33" s="624"/>
      <c r="J33" s="624"/>
      <c r="K33" s="625"/>
      <c r="L33" s="506"/>
    </row>
    <row r="34" spans="1:12" s="125" customFormat="1" ht="24.75" hidden="1" customHeight="1">
      <c r="A34" s="623"/>
      <c r="B34" s="624"/>
      <c r="C34" s="624"/>
      <c r="D34" s="624"/>
      <c r="E34" s="624"/>
      <c r="F34" s="624"/>
      <c r="G34" s="624"/>
      <c r="H34" s="624"/>
      <c r="I34" s="624"/>
      <c r="J34" s="624"/>
      <c r="K34" s="625"/>
      <c r="L34" s="506"/>
    </row>
    <row r="35" spans="1:12" s="125" customFormat="1" ht="24.75" hidden="1" customHeight="1">
      <c r="A35" s="623"/>
      <c r="B35" s="624"/>
      <c r="C35" s="624"/>
      <c r="D35" s="624"/>
      <c r="E35" s="624"/>
      <c r="F35" s="624"/>
      <c r="G35" s="624"/>
      <c r="H35" s="624"/>
      <c r="I35" s="624"/>
      <c r="J35" s="624"/>
      <c r="K35" s="625"/>
      <c r="L35" s="506"/>
    </row>
    <row r="36" spans="1:12" s="125" customFormat="1" ht="24.75" hidden="1" customHeight="1">
      <c r="A36" s="623"/>
      <c r="B36" s="624"/>
      <c r="C36" s="624"/>
      <c r="D36" s="624"/>
      <c r="E36" s="624"/>
      <c r="F36" s="624"/>
      <c r="G36" s="624"/>
      <c r="H36" s="624"/>
      <c r="I36" s="624"/>
      <c r="J36" s="624"/>
      <c r="K36" s="625"/>
      <c r="L36" s="506"/>
    </row>
    <row r="37" spans="1:12" s="125" customFormat="1" ht="24.75" hidden="1" customHeight="1">
      <c r="A37" s="623"/>
      <c r="B37" s="624"/>
      <c r="C37" s="624"/>
      <c r="D37" s="624"/>
      <c r="E37" s="624"/>
      <c r="F37" s="624"/>
      <c r="G37" s="624"/>
      <c r="H37" s="624"/>
      <c r="I37" s="624"/>
      <c r="J37" s="624"/>
      <c r="K37" s="625"/>
      <c r="L37" s="506"/>
    </row>
    <row r="38" spans="1:12" s="125" customFormat="1" ht="24.75" hidden="1" customHeight="1">
      <c r="A38" s="623"/>
      <c r="B38" s="624"/>
      <c r="C38" s="624"/>
      <c r="D38" s="624"/>
      <c r="E38" s="624"/>
      <c r="F38" s="624"/>
      <c r="G38" s="624"/>
      <c r="H38" s="624"/>
      <c r="I38" s="624"/>
      <c r="J38" s="624"/>
      <c r="K38" s="625"/>
      <c r="L38" s="506"/>
    </row>
    <row r="39" spans="1:12" s="125" customFormat="1" ht="24.75" hidden="1" customHeight="1">
      <c r="A39" s="623"/>
      <c r="B39" s="624"/>
      <c r="C39" s="624"/>
      <c r="D39" s="624"/>
      <c r="E39" s="624"/>
      <c r="F39" s="624"/>
      <c r="G39" s="624"/>
      <c r="H39" s="624"/>
      <c r="I39" s="624"/>
      <c r="J39" s="624"/>
      <c r="K39" s="625"/>
      <c r="L39" s="506"/>
    </row>
    <row r="40" spans="1:12" s="125" customFormat="1" ht="24.75" hidden="1" customHeight="1">
      <c r="A40" s="623"/>
      <c r="B40" s="624"/>
      <c r="C40" s="624"/>
      <c r="D40" s="624"/>
      <c r="E40" s="624"/>
      <c r="F40" s="624"/>
      <c r="G40" s="624"/>
      <c r="H40" s="624"/>
      <c r="I40" s="624"/>
      <c r="J40" s="624"/>
      <c r="K40" s="625"/>
      <c r="L40" s="506"/>
    </row>
    <row r="41" spans="1:12" s="125" customFormat="1" ht="24.75" hidden="1" customHeight="1">
      <c r="A41" s="623"/>
      <c r="B41" s="624"/>
      <c r="C41" s="624"/>
      <c r="D41" s="624"/>
      <c r="E41" s="624"/>
      <c r="F41" s="624"/>
      <c r="G41" s="624"/>
      <c r="H41" s="624"/>
      <c r="I41" s="624"/>
      <c r="J41" s="624"/>
      <c r="K41" s="625"/>
      <c r="L41" s="506"/>
    </row>
    <row r="42" spans="1:12" s="125" customFormat="1" ht="24.75" hidden="1" customHeight="1">
      <c r="A42" s="623"/>
      <c r="B42" s="624"/>
      <c r="C42" s="624"/>
      <c r="D42" s="624"/>
      <c r="E42" s="624"/>
      <c r="F42" s="624"/>
      <c r="G42" s="624"/>
      <c r="H42" s="624"/>
      <c r="I42" s="624"/>
      <c r="J42" s="624"/>
      <c r="K42" s="625"/>
      <c r="L42" s="506"/>
    </row>
    <row r="43" spans="1:12" s="125" customFormat="1" ht="24.75" hidden="1" customHeight="1">
      <c r="A43" s="623"/>
      <c r="B43" s="624"/>
      <c r="C43" s="624"/>
      <c r="D43" s="624"/>
      <c r="E43" s="624"/>
      <c r="F43" s="624"/>
      <c r="G43" s="624"/>
      <c r="H43" s="624"/>
      <c r="I43" s="624"/>
      <c r="J43" s="624"/>
      <c r="K43" s="625"/>
      <c r="L43" s="506"/>
    </row>
    <row r="44" spans="1:12" s="125" customFormat="1" ht="24.75" hidden="1" customHeight="1">
      <c r="A44" s="623"/>
      <c r="B44" s="624"/>
      <c r="C44" s="624"/>
      <c r="D44" s="624"/>
      <c r="E44" s="624"/>
      <c r="F44" s="624"/>
      <c r="G44" s="624"/>
      <c r="H44" s="624"/>
      <c r="I44" s="624"/>
      <c r="J44" s="624"/>
      <c r="K44" s="625"/>
      <c r="L44" s="506"/>
    </row>
    <row r="45" spans="1:12" s="125" customFormat="1" ht="24.75" hidden="1" customHeight="1">
      <c r="A45" s="623"/>
      <c r="B45" s="624"/>
      <c r="C45" s="624"/>
      <c r="D45" s="624"/>
      <c r="E45" s="624"/>
      <c r="F45" s="624"/>
      <c r="G45" s="624"/>
      <c r="H45" s="624"/>
      <c r="I45" s="624"/>
      <c r="J45" s="624"/>
      <c r="K45" s="625"/>
      <c r="L45" s="506"/>
    </row>
    <row r="46" spans="1:12" s="125" customFormat="1" ht="24.75" hidden="1" customHeight="1">
      <c r="A46" s="623"/>
      <c r="B46" s="624"/>
      <c r="C46" s="624"/>
      <c r="D46" s="624"/>
      <c r="E46" s="624"/>
      <c r="F46" s="624"/>
      <c r="G46" s="624"/>
      <c r="H46" s="624"/>
      <c r="I46" s="624"/>
      <c r="J46" s="624"/>
      <c r="K46" s="625"/>
      <c r="L46" s="506"/>
    </row>
    <row r="47" spans="1:12" s="125" customFormat="1" ht="24.75" hidden="1" customHeight="1">
      <c r="A47" s="623"/>
      <c r="B47" s="624"/>
      <c r="C47" s="624"/>
      <c r="D47" s="624"/>
      <c r="E47" s="624"/>
      <c r="F47" s="624"/>
      <c r="G47" s="624"/>
      <c r="H47" s="624"/>
      <c r="I47" s="624"/>
      <c r="J47" s="624"/>
      <c r="K47" s="625"/>
      <c r="L47" s="506"/>
    </row>
    <row r="48" spans="1:12" s="125" customFormat="1" ht="24.75" hidden="1" customHeight="1">
      <c r="A48" s="623"/>
      <c r="B48" s="624"/>
      <c r="C48" s="624"/>
      <c r="D48" s="624"/>
      <c r="E48" s="624"/>
      <c r="F48" s="624"/>
      <c r="G48" s="624"/>
      <c r="H48" s="624"/>
      <c r="I48" s="624"/>
      <c r="J48" s="624"/>
      <c r="K48" s="625"/>
      <c r="L48" s="506"/>
    </row>
    <row r="49" spans="1:12" s="125" customFormat="1" ht="24.75" hidden="1" customHeight="1">
      <c r="A49" s="623"/>
      <c r="B49" s="624"/>
      <c r="C49" s="624"/>
      <c r="D49" s="624"/>
      <c r="E49" s="624"/>
      <c r="F49" s="624"/>
      <c r="G49" s="624"/>
      <c r="H49" s="624"/>
      <c r="I49" s="624"/>
      <c r="J49" s="624"/>
      <c r="K49" s="625"/>
      <c r="L49" s="506"/>
    </row>
    <row r="50" spans="1:12" s="125" customFormat="1" ht="24.75" hidden="1" customHeight="1">
      <c r="A50" s="623"/>
      <c r="B50" s="624"/>
      <c r="C50" s="624"/>
      <c r="D50" s="624"/>
      <c r="E50" s="624"/>
      <c r="F50" s="624"/>
      <c r="G50" s="624"/>
      <c r="H50" s="624"/>
      <c r="I50" s="624"/>
      <c r="J50" s="624"/>
      <c r="K50" s="625"/>
      <c r="L50" s="506"/>
    </row>
    <row r="51" spans="1:12" s="125" customFormat="1" ht="24.75" hidden="1" customHeight="1">
      <c r="A51" s="623"/>
      <c r="B51" s="624"/>
      <c r="C51" s="624"/>
      <c r="D51" s="624"/>
      <c r="E51" s="624"/>
      <c r="F51" s="624"/>
      <c r="G51" s="624"/>
      <c r="H51" s="624"/>
      <c r="I51" s="624"/>
      <c r="J51" s="624"/>
      <c r="K51" s="625"/>
      <c r="L51" s="506"/>
    </row>
    <row r="52" spans="1:12" s="125" customFormat="1" ht="24.75" hidden="1" customHeight="1">
      <c r="A52" s="623"/>
      <c r="B52" s="624"/>
      <c r="C52" s="624"/>
      <c r="D52" s="624"/>
      <c r="E52" s="624"/>
      <c r="F52" s="624"/>
      <c r="G52" s="624"/>
      <c r="H52" s="624"/>
      <c r="I52" s="624"/>
      <c r="J52" s="624"/>
      <c r="K52" s="625"/>
      <c r="L52" s="506"/>
    </row>
    <row r="53" spans="1:12" s="125" customFormat="1" ht="24.75" hidden="1" customHeight="1">
      <c r="A53" s="623"/>
      <c r="B53" s="624"/>
      <c r="C53" s="624"/>
      <c r="D53" s="624"/>
      <c r="E53" s="624"/>
      <c r="F53" s="624"/>
      <c r="G53" s="624"/>
      <c r="H53" s="624"/>
      <c r="I53" s="624"/>
      <c r="J53" s="624"/>
      <c r="K53" s="625"/>
      <c r="L53" s="506"/>
    </row>
    <row r="54" spans="1:12" s="125" customFormat="1" ht="24.75" hidden="1" customHeight="1">
      <c r="A54" s="623"/>
      <c r="B54" s="624"/>
      <c r="C54" s="624"/>
      <c r="D54" s="624"/>
      <c r="E54" s="624"/>
      <c r="F54" s="624"/>
      <c r="G54" s="624"/>
      <c r="H54" s="624"/>
      <c r="I54" s="624"/>
      <c r="J54" s="624"/>
      <c r="K54" s="625"/>
      <c r="L54" s="506"/>
    </row>
    <row r="55" spans="1:12" s="125" customFormat="1" ht="24.75" hidden="1" customHeight="1">
      <c r="A55" s="623"/>
      <c r="B55" s="624"/>
      <c r="C55" s="624"/>
      <c r="D55" s="624"/>
      <c r="E55" s="624"/>
      <c r="F55" s="624"/>
      <c r="G55" s="624"/>
      <c r="H55" s="624"/>
      <c r="I55" s="624"/>
      <c r="J55" s="624"/>
      <c r="K55" s="625"/>
      <c r="L55" s="506"/>
    </row>
    <row r="56" spans="1:12" s="125" customFormat="1" ht="24.75" hidden="1" customHeight="1">
      <c r="A56" s="623"/>
      <c r="B56" s="624"/>
      <c r="C56" s="624"/>
      <c r="D56" s="624"/>
      <c r="E56" s="624"/>
      <c r="F56" s="624"/>
      <c r="G56" s="624"/>
      <c r="H56" s="624"/>
      <c r="I56" s="624"/>
      <c r="J56" s="624"/>
      <c r="K56" s="625"/>
      <c r="L56" s="506"/>
    </row>
    <row r="57" spans="1:12" s="125" customFormat="1" ht="24.75" hidden="1" customHeight="1">
      <c r="A57" s="623"/>
      <c r="B57" s="624"/>
      <c r="C57" s="624"/>
      <c r="D57" s="624"/>
      <c r="E57" s="624"/>
      <c r="F57" s="624"/>
      <c r="G57" s="624"/>
      <c r="H57" s="624"/>
      <c r="I57" s="624"/>
      <c r="J57" s="624"/>
      <c r="K57" s="625"/>
      <c r="L57" s="506"/>
    </row>
    <row r="58" spans="1:12" s="125" customFormat="1" ht="24.75" hidden="1" customHeight="1">
      <c r="A58" s="623"/>
      <c r="B58" s="624"/>
      <c r="C58" s="624"/>
      <c r="D58" s="624"/>
      <c r="E58" s="624"/>
      <c r="F58" s="624"/>
      <c r="G58" s="624"/>
      <c r="H58" s="624"/>
      <c r="I58" s="624"/>
      <c r="J58" s="624"/>
      <c r="K58" s="625"/>
      <c r="L58" s="506"/>
    </row>
    <row r="59" spans="1:12" s="125" customFormat="1" ht="24.75" hidden="1" customHeight="1">
      <c r="A59" s="623"/>
      <c r="B59" s="624"/>
      <c r="C59" s="624"/>
      <c r="D59" s="624"/>
      <c r="E59" s="624"/>
      <c r="F59" s="624"/>
      <c r="G59" s="624"/>
      <c r="H59" s="624"/>
      <c r="I59" s="624"/>
      <c r="J59" s="624"/>
      <c r="K59" s="625"/>
      <c r="L59" s="506"/>
    </row>
    <row r="60" spans="1:12" s="125" customFormat="1" ht="24.75" hidden="1" customHeight="1">
      <c r="A60" s="623"/>
      <c r="B60" s="624"/>
      <c r="C60" s="624"/>
      <c r="D60" s="624"/>
      <c r="E60" s="624"/>
      <c r="F60" s="624"/>
      <c r="G60" s="624"/>
      <c r="H60" s="624"/>
      <c r="I60" s="624"/>
      <c r="J60" s="624"/>
      <c r="K60" s="625"/>
      <c r="L60" s="506"/>
    </row>
    <row r="61" spans="1:12" s="125" customFormat="1" ht="24.75" hidden="1" customHeight="1">
      <c r="A61" s="623"/>
      <c r="B61" s="624"/>
      <c r="C61" s="624"/>
      <c r="D61" s="624"/>
      <c r="E61" s="624"/>
      <c r="F61" s="624"/>
      <c r="G61" s="624"/>
      <c r="H61" s="624"/>
      <c r="I61" s="624"/>
      <c r="J61" s="624"/>
      <c r="K61" s="625"/>
      <c r="L61" s="506"/>
    </row>
    <row r="62" spans="1:12" s="125" customFormat="1" ht="24.75" hidden="1" customHeight="1">
      <c r="A62" s="623"/>
      <c r="B62" s="624"/>
      <c r="C62" s="624"/>
      <c r="D62" s="624"/>
      <c r="E62" s="624"/>
      <c r="F62" s="624"/>
      <c r="G62" s="624"/>
      <c r="H62" s="624"/>
      <c r="I62" s="624"/>
      <c r="J62" s="624"/>
      <c r="K62" s="625"/>
      <c r="L62" s="506"/>
    </row>
    <row r="63" spans="1:12" s="125" customFormat="1" ht="24.75" hidden="1" customHeight="1">
      <c r="A63" s="623"/>
      <c r="B63" s="624"/>
      <c r="C63" s="624"/>
      <c r="D63" s="624"/>
      <c r="E63" s="624"/>
      <c r="F63" s="624"/>
      <c r="G63" s="624"/>
      <c r="H63" s="624"/>
      <c r="I63" s="624"/>
      <c r="J63" s="624"/>
      <c r="K63" s="625"/>
      <c r="L63" s="506"/>
    </row>
    <row r="64" spans="1:12" s="125" customFormat="1" ht="24.75" hidden="1" customHeight="1">
      <c r="A64" s="623"/>
      <c r="B64" s="624"/>
      <c r="C64" s="624"/>
      <c r="D64" s="624"/>
      <c r="E64" s="624"/>
      <c r="F64" s="624"/>
      <c r="G64" s="624"/>
      <c r="H64" s="624"/>
      <c r="I64" s="624"/>
      <c r="J64" s="624"/>
      <c r="K64" s="625"/>
      <c r="L64" s="506"/>
    </row>
    <row r="65" spans="1:12" s="125" customFormat="1" ht="24.75" hidden="1" customHeight="1">
      <c r="A65" s="623"/>
      <c r="B65" s="624"/>
      <c r="C65" s="624"/>
      <c r="D65" s="624"/>
      <c r="E65" s="624"/>
      <c r="F65" s="624"/>
      <c r="G65" s="624"/>
      <c r="H65" s="624"/>
      <c r="I65" s="624"/>
      <c r="J65" s="624"/>
      <c r="K65" s="625"/>
      <c r="L65" s="506"/>
    </row>
    <row r="66" spans="1:12" s="125" customFormat="1" ht="24.75" hidden="1" customHeight="1">
      <c r="A66" s="623"/>
      <c r="B66" s="624"/>
      <c r="C66" s="624"/>
      <c r="D66" s="624"/>
      <c r="E66" s="624"/>
      <c r="F66" s="624"/>
      <c r="G66" s="624"/>
      <c r="H66" s="624"/>
      <c r="I66" s="624"/>
      <c r="J66" s="624"/>
      <c r="K66" s="625"/>
      <c r="L66" s="506"/>
    </row>
    <row r="67" spans="1:12" s="125" customFormat="1" ht="24.75" hidden="1" customHeight="1">
      <c r="A67" s="623"/>
      <c r="B67" s="624"/>
      <c r="C67" s="624"/>
      <c r="D67" s="624"/>
      <c r="E67" s="624"/>
      <c r="F67" s="624"/>
      <c r="G67" s="624"/>
      <c r="H67" s="624"/>
      <c r="I67" s="624"/>
      <c r="J67" s="624"/>
      <c r="K67" s="625"/>
      <c r="L67" s="506"/>
    </row>
    <row r="68" spans="1:12" s="125" customFormat="1" ht="24.75" hidden="1" customHeight="1">
      <c r="A68" s="623"/>
      <c r="B68" s="624"/>
      <c r="C68" s="624"/>
      <c r="D68" s="624"/>
      <c r="E68" s="624"/>
      <c r="F68" s="624"/>
      <c r="G68" s="624"/>
      <c r="H68" s="624"/>
      <c r="I68" s="624"/>
      <c r="J68" s="624"/>
      <c r="K68" s="625"/>
      <c r="L68" s="506"/>
    </row>
    <row r="69" spans="1:12" s="125" customFormat="1" ht="24.75" hidden="1" customHeight="1">
      <c r="A69" s="623"/>
      <c r="B69" s="624"/>
      <c r="C69" s="624"/>
      <c r="D69" s="624"/>
      <c r="E69" s="624"/>
      <c r="F69" s="624"/>
      <c r="G69" s="624"/>
      <c r="H69" s="624"/>
      <c r="I69" s="624"/>
      <c r="J69" s="624"/>
      <c r="K69" s="625"/>
      <c r="L69" s="506"/>
    </row>
    <row r="70" spans="1:12" s="125" customFormat="1" ht="24.75" hidden="1" customHeight="1">
      <c r="A70" s="623"/>
      <c r="B70" s="624"/>
      <c r="C70" s="624"/>
      <c r="D70" s="624"/>
      <c r="E70" s="624"/>
      <c r="F70" s="624"/>
      <c r="G70" s="624"/>
      <c r="H70" s="624"/>
      <c r="I70" s="624"/>
      <c r="J70" s="624"/>
      <c r="K70" s="625"/>
      <c r="L70" s="506"/>
    </row>
    <row r="71" spans="1:12" s="125" customFormat="1" ht="24.75" hidden="1" customHeight="1">
      <c r="A71" s="623"/>
      <c r="B71" s="624"/>
      <c r="C71" s="624"/>
      <c r="D71" s="624"/>
      <c r="E71" s="624"/>
      <c r="F71" s="624"/>
      <c r="G71" s="624"/>
      <c r="H71" s="624"/>
      <c r="I71" s="624"/>
      <c r="J71" s="624"/>
      <c r="K71" s="625"/>
      <c r="L71" s="506"/>
    </row>
    <row r="72" spans="1:12" s="125" customFormat="1" ht="24.75" hidden="1" customHeight="1">
      <c r="A72" s="623"/>
      <c r="B72" s="624"/>
      <c r="C72" s="624"/>
      <c r="D72" s="624"/>
      <c r="E72" s="624"/>
      <c r="F72" s="624"/>
      <c r="G72" s="624"/>
      <c r="H72" s="624"/>
      <c r="I72" s="624"/>
      <c r="J72" s="624"/>
      <c r="K72" s="625"/>
      <c r="L72" s="506"/>
    </row>
    <row r="73" spans="1:12" s="125" customFormat="1" ht="24.75" hidden="1" customHeight="1">
      <c r="A73" s="623"/>
      <c r="B73" s="624"/>
      <c r="C73" s="624"/>
      <c r="D73" s="624"/>
      <c r="E73" s="624"/>
      <c r="F73" s="624"/>
      <c r="G73" s="624"/>
      <c r="H73" s="624"/>
      <c r="I73" s="624"/>
      <c r="J73" s="624"/>
      <c r="K73" s="625"/>
      <c r="L73" s="506"/>
    </row>
    <row r="74" spans="1:12" s="125" customFormat="1" ht="24.75" hidden="1" customHeight="1">
      <c r="A74" s="623"/>
      <c r="B74" s="624"/>
      <c r="C74" s="624"/>
      <c r="D74" s="624"/>
      <c r="E74" s="624"/>
      <c r="F74" s="624"/>
      <c r="G74" s="624"/>
      <c r="H74" s="624"/>
      <c r="I74" s="624"/>
      <c r="J74" s="624"/>
      <c r="K74" s="625"/>
      <c r="L74" s="506"/>
    </row>
    <row r="75" spans="1:12" s="125" customFormat="1" ht="24.75" hidden="1" customHeight="1">
      <c r="A75" s="623"/>
      <c r="B75" s="624"/>
      <c r="C75" s="624"/>
      <c r="D75" s="624"/>
      <c r="E75" s="624"/>
      <c r="F75" s="624"/>
      <c r="G75" s="624"/>
      <c r="H75" s="624"/>
      <c r="I75" s="624"/>
      <c r="J75" s="624"/>
      <c r="K75" s="625"/>
      <c r="L75" s="506"/>
    </row>
    <row r="76" spans="1:12" s="125" customFormat="1" ht="24.75" hidden="1" customHeight="1">
      <c r="A76" s="623"/>
      <c r="B76" s="624"/>
      <c r="C76" s="624"/>
      <c r="D76" s="624"/>
      <c r="E76" s="624"/>
      <c r="F76" s="624"/>
      <c r="G76" s="624"/>
      <c r="H76" s="624"/>
      <c r="I76" s="624"/>
      <c r="J76" s="624"/>
      <c r="K76" s="625"/>
      <c r="L76" s="506"/>
    </row>
    <row r="77" spans="1:12" s="125" customFormat="1" ht="24.75" hidden="1" customHeight="1">
      <c r="A77" s="623"/>
      <c r="B77" s="624"/>
      <c r="C77" s="624"/>
      <c r="D77" s="624"/>
      <c r="E77" s="624"/>
      <c r="F77" s="624"/>
      <c r="G77" s="624"/>
      <c r="H77" s="624"/>
      <c r="I77" s="624"/>
      <c r="J77" s="624"/>
      <c r="K77" s="625"/>
      <c r="L77" s="506"/>
    </row>
    <row r="78" spans="1:12" s="125" customFormat="1" ht="24.75" hidden="1" customHeight="1">
      <c r="A78" s="623"/>
      <c r="B78" s="624"/>
      <c r="C78" s="624"/>
      <c r="D78" s="624"/>
      <c r="E78" s="624"/>
      <c r="F78" s="624"/>
      <c r="G78" s="624"/>
      <c r="H78" s="624"/>
      <c r="I78" s="624"/>
      <c r="J78" s="624"/>
      <c r="K78" s="625"/>
      <c r="L78" s="506"/>
    </row>
    <row r="79" spans="1:12" s="125" customFormat="1" ht="24.75" hidden="1" customHeight="1">
      <c r="A79" s="626"/>
      <c r="B79" s="627"/>
      <c r="C79" s="627"/>
      <c r="D79" s="627"/>
      <c r="E79" s="627"/>
      <c r="F79" s="627"/>
      <c r="G79" s="627"/>
      <c r="H79" s="627"/>
      <c r="I79" s="627"/>
      <c r="J79" s="627"/>
      <c r="K79" s="628"/>
      <c r="L79" s="506"/>
    </row>
    <row r="80" spans="1:12" s="125" customFormat="1" ht="24.75" customHeight="1">
      <c r="A80" s="611" t="s">
        <v>529</v>
      </c>
      <c r="B80" s="612"/>
      <c r="C80" s="612"/>
      <c r="D80" s="612"/>
      <c r="E80" s="612"/>
      <c r="F80" s="612"/>
      <c r="G80" s="612"/>
      <c r="H80" s="612"/>
      <c r="I80" s="612"/>
      <c r="J80" s="612"/>
      <c r="K80" s="613"/>
      <c r="L80" s="506"/>
    </row>
    <row r="81" spans="1:12" s="125" customFormat="1" ht="24.75" customHeight="1">
      <c r="A81" s="614"/>
      <c r="B81" s="615"/>
      <c r="C81" s="615"/>
      <c r="D81" s="615"/>
      <c r="E81" s="615"/>
      <c r="F81" s="615"/>
      <c r="G81" s="615"/>
      <c r="H81" s="615"/>
      <c r="I81" s="615"/>
      <c r="J81" s="615"/>
      <c r="K81" s="616"/>
      <c r="L81" s="506"/>
    </row>
    <row r="82" spans="1:12" s="125" customFormat="1" ht="24.75" customHeight="1">
      <c r="A82" s="617"/>
      <c r="B82" s="618"/>
      <c r="C82" s="618"/>
      <c r="D82" s="618"/>
      <c r="E82" s="618"/>
      <c r="F82" s="618"/>
      <c r="G82" s="618"/>
      <c r="H82" s="618"/>
      <c r="I82" s="618"/>
      <c r="J82" s="618"/>
      <c r="K82" s="619"/>
      <c r="L82" s="506"/>
    </row>
    <row r="83" spans="1:12" s="125" customFormat="1" ht="24.75" customHeight="1">
      <c r="A83" s="77" t="s">
        <v>496</v>
      </c>
      <c r="B83" s="511"/>
      <c r="C83" s="122"/>
      <c r="D83" s="122"/>
      <c r="E83" s="122"/>
      <c r="F83" s="122"/>
      <c r="G83" s="122"/>
      <c r="H83" s="122"/>
      <c r="I83" s="123"/>
      <c r="J83" s="123"/>
      <c r="K83" s="124"/>
      <c r="L83" s="505"/>
    </row>
    <row r="84" spans="1:12" s="113" customFormat="1" ht="24.95" customHeight="1">
      <c r="A84" s="608">
        <f>SUM(D84:D93)</f>
        <v>5451.0399999999991</v>
      </c>
      <c r="B84" s="512" t="s">
        <v>539</v>
      </c>
      <c r="C84" s="71">
        <v>7331234</v>
      </c>
      <c r="D84" s="126">
        <f t="shared" ref="D84:D89" si="0">(SUM(H84:I84)-SUM(J84:K84))</f>
        <v>996.96</v>
      </c>
      <c r="E84" s="531">
        <v>342.8</v>
      </c>
      <c r="F84" s="531">
        <v>126.88</v>
      </c>
      <c r="G84" s="73"/>
      <c r="H84" s="127">
        <f t="shared" ref="H84:H89" si="1">SUM(E84:G84)</f>
        <v>469.68</v>
      </c>
      <c r="I84" s="531">
        <v>527.28</v>
      </c>
      <c r="J84" s="75"/>
      <c r="K84" s="76"/>
      <c r="L84" s="505"/>
    </row>
    <row r="85" spans="1:12" s="113" customFormat="1" ht="24.95" customHeight="1">
      <c r="A85" s="609"/>
      <c r="B85" s="512" t="s">
        <v>540</v>
      </c>
      <c r="C85" s="71">
        <v>7336660</v>
      </c>
      <c r="D85" s="126">
        <f t="shared" si="0"/>
        <v>3679.68</v>
      </c>
      <c r="E85" s="531">
        <v>3558</v>
      </c>
      <c r="F85" s="528"/>
      <c r="G85" s="73"/>
      <c r="H85" s="127">
        <f t="shared" si="1"/>
        <v>3558</v>
      </c>
      <c r="I85" s="531">
        <v>121.68</v>
      </c>
      <c r="J85" s="75"/>
      <c r="K85" s="76"/>
      <c r="L85" s="505"/>
    </row>
    <row r="86" spans="1:12" s="113" customFormat="1" ht="24.95" customHeight="1">
      <c r="A86" s="609"/>
      <c r="B86" s="512" t="s">
        <v>542</v>
      </c>
      <c r="C86" s="71">
        <v>7342044</v>
      </c>
      <c r="D86" s="126">
        <f t="shared" si="0"/>
        <v>774.4</v>
      </c>
      <c r="E86" s="531">
        <v>630</v>
      </c>
      <c r="F86" s="531">
        <v>43</v>
      </c>
      <c r="G86" s="73"/>
      <c r="H86" s="127">
        <f t="shared" si="1"/>
        <v>673</v>
      </c>
      <c r="I86" s="531">
        <v>101.4</v>
      </c>
      <c r="J86" s="75"/>
      <c r="K86" s="76"/>
      <c r="L86" s="505"/>
    </row>
    <row r="87" spans="1:12" s="113" customFormat="1" ht="24.95" customHeight="1">
      <c r="A87" s="609"/>
      <c r="B87" s="512"/>
      <c r="C87" s="71"/>
      <c r="D87" s="126">
        <f t="shared" si="0"/>
        <v>0</v>
      </c>
      <c r="E87" s="528"/>
      <c r="F87" s="528"/>
      <c r="G87" s="73"/>
      <c r="H87" s="127">
        <f t="shared" si="1"/>
        <v>0</v>
      </c>
      <c r="I87" s="74"/>
      <c r="J87" s="75"/>
      <c r="K87" s="76"/>
      <c r="L87" s="505"/>
    </row>
    <row r="88" spans="1:12" s="113" customFormat="1" ht="24.95" customHeight="1">
      <c r="A88" s="609"/>
      <c r="B88" s="512"/>
      <c r="C88" s="71"/>
      <c r="D88" s="126">
        <f t="shared" si="0"/>
        <v>0</v>
      </c>
      <c r="E88" s="72"/>
      <c r="F88" s="73"/>
      <c r="G88" s="73"/>
      <c r="H88" s="127">
        <f t="shared" si="1"/>
        <v>0</v>
      </c>
      <c r="I88" s="74"/>
      <c r="J88" s="75"/>
      <c r="K88" s="76"/>
      <c r="L88" s="505"/>
    </row>
    <row r="89" spans="1:12" s="113" customFormat="1" ht="24.95" customHeight="1">
      <c r="A89" s="609"/>
      <c r="B89" s="512"/>
      <c r="C89" s="71"/>
      <c r="D89" s="126">
        <f t="shared" si="0"/>
        <v>0</v>
      </c>
      <c r="E89" s="72"/>
      <c r="F89" s="73"/>
      <c r="G89" s="73"/>
      <c r="H89" s="127">
        <f t="shared" si="1"/>
        <v>0</v>
      </c>
      <c r="I89" s="74"/>
      <c r="J89" s="75"/>
      <c r="K89" s="76"/>
      <c r="L89" s="505"/>
    </row>
    <row r="90" spans="1:12" s="113" customFormat="1" ht="24.95" customHeight="1">
      <c r="A90" s="609"/>
      <c r="B90" s="512"/>
      <c r="C90" s="71"/>
      <c r="D90" s="126">
        <f t="shared" ref="D90:D93" si="2">(SUM(H90:I90)-SUM(J90:K90))</f>
        <v>0</v>
      </c>
      <c r="E90" s="72"/>
      <c r="F90" s="73"/>
      <c r="G90" s="73"/>
      <c r="H90" s="127">
        <f t="shared" ref="H90:H93" si="3">SUM(E90:G90)</f>
        <v>0</v>
      </c>
      <c r="I90" s="74"/>
      <c r="J90" s="75"/>
      <c r="K90" s="76"/>
      <c r="L90" s="505"/>
    </row>
    <row r="91" spans="1:12" s="113" customFormat="1" ht="24.95" customHeight="1">
      <c r="A91" s="609"/>
      <c r="B91" s="512"/>
      <c r="C91" s="71"/>
      <c r="D91" s="126">
        <f t="shared" si="2"/>
        <v>0</v>
      </c>
      <c r="E91" s="72"/>
      <c r="F91" s="73"/>
      <c r="G91" s="73"/>
      <c r="H91" s="127">
        <f t="shared" si="3"/>
        <v>0</v>
      </c>
      <c r="I91" s="74"/>
      <c r="J91" s="75"/>
      <c r="K91" s="76"/>
      <c r="L91" s="505"/>
    </row>
    <row r="92" spans="1:12" s="113" customFormat="1" ht="24.95" customHeight="1">
      <c r="A92" s="609"/>
      <c r="B92" s="512"/>
      <c r="C92" s="71"/>
      <c r="D92" s="126">
        <f t="shared" si="2"/>
        <v>0</v>
      </c>
      <c r="E92" s="72"/>
      <c r="F92" s="73"/>
      <c r="G92" s="73"/>
      <c r="H92" s="127">
        <f t="shared" si="3"/>
        <v>0</v>
      </c>
      <c r="I92" s="74"/>
      <c r="J92" s="75"/>
      <c r="K92" s="76"/>
      <c r="L92" s="505"/>
    </row>
    <row r="93" spans="1:12" s="113" customFormat="1" ht="24.95" customHeight="1">
      <c r="A93" s="610"/>
      <c r="B93" s="512"/>
      <c r="C93" s="71"/>
      <c r="D93" s="126">
        <f t="shared" si="2"/>
        <v>0</v>
      </c>
      <c r="E93" s="72"/>
      <c r="F93" s="73"/>
      <c r="G93" s="73"/>
      <c r="H93" s="127">
        <f t="shared" si="3"/>
        <v>0</v>
      </c>
      <c r="I93" s="74"/>
      <c r="J93" s="75"/>
      <c r="K93" s="76"/>
      <c r="L93" s="505"/>
    </row>
    <row r="94" spans="1:12" s="113" customFormat="1" ht="24.95" customHeight="1">
      <c r="A94" s="77" t="s">
        <v>538</v>
      </c>
      <c r="B94" s="511"/>
      <c r="C94" s="122"/>
      <c r="D94" s="122"/>
      <c r="E94" s="122"/>
      <c r="F94" s="122"/>
      <c r="G94" s="122"/>
      <c r="H94" s="122"/>
      <c r="I94" s="123"/>
      <c r="J94" s="123"/>
      <c r="K94" s="124"/>
      <c r="L94" s="505"/>
    </row>
    <row r="95" spans="1:12" s="113" customFormat="1" ht="24.95" customHeight="1">
      <c r="A95" s="608">
        <f>SUM(D95:D104)</f>
        <v>225.7</v>
      </c>
      <c r="B95" s="527" t="s">
        <v>544</v>
      </c>
      <c r="C95" s="530" t="s">
        <v>545</v>
      </c>
      <c r="D95" s="126">
        <f t="shared" ref="D95:D104" si="4">(SUM(H95:I95)-SUM(J95:K95))</f>
        <v>0</v>
      </c>
      <c r="E95" s="527" t="s">
        <v>546</v>
      </c>
      <c r="F95" s="527"/>
      <c r="G95" s="527"/>
      <c r="H95" s="127">
        <f t="shared" ref="H95:H104" si="5">SUM(E95:G95)</f>
        <v>0</v>
      </c>
      <c r="I95" s="74"/>
      <c r="J95" s="75"/>
      <c r="K95" s="76"/>
      <c r="L95" s="505"/>
    </row>
    <row r="96" spans="1:12" s="113" customFormat="1" ht="24.95" customHeight="1">
      <c r="A96" s="609"/>
      <c r="B96" s="527" t="s">
        <v>544</v>
      </c>
      <c r="C96" s="530" t="s">
        <v>545</v>
      </c>
      <c r="D96" s="126">
        <f t="shared" si="4"/>
        <v>0</v>
      </c>
      <c r="E96" s="527" t="s">
        <v>546</v>
      </c>
      <c r="F96" s="528"/>
      <c r="G96" s="73"/>
      <c r="H96" s="127">
        <f t="shared" si="5"/>
        <v>0</v>
      </c>
      <c r="I96" s="74"/>
      <c r="J96" s="75"/>
      <c r="K96" s="76"/>
      <c r="L96" s="505"/>
    </row>
    <row r="97" spans="1:12" s="113" customFormat="1" ht="24.95" customHeight="1">
      <c r="A97" s="609"/>
      <c r="B97" s="527" t="s">
        <v>547</v>
      </c>
      <c r="C97" s="71">
        <v>125294708</v>
      </c>
      <c r="D97" s="126">
        <f t="shared" si="4"/>
        <v>225.7</v>
      </c>
      <c r="E97" s="531">
        <v>86.7</v>
      </c>
      <c r="F97" s="531">
        <v>139</v>
      </c>
      <c r="G97" s="73"/>
      <c r="H97" s="127">
        <f t="shared" si="5"/>
        <v>225.7</v>
      </c>
      <c r="I97" s="74"/>
      <c r="J97" s="75"/>
      <c r="K97" s="76"/>
      <c r="L97" s="505"/>
    </row>
    <row r="98" spans="1:12" s="113" customFormat="1" ht="24.95" customHeight="1">
      <c r="A98" s="609"/>
      <c r="B98" s="527" t="s">
        <v>544</v>
      </c>
      <c r="C98" s="530" t="s">
        <v>545</v>
      </c>
      <c r="D98" s="126">
        <f t="shared" si="4"/>
        <v>0</v>
      </c>
      <c r="E98" s="527" t="s">
        <v>546</v>
      </c>
      <c r="F98" s="528"/>
      <c r="G98" s="73"/>
      <c r="H98" s="127">
        <f t="shared" si="5"/>
        <v>0</v>
      </c>
      <c r="I98" s="74"/>
      <c r="J98" s="75"/>
      <c r="K98" s="76"/>
      <c r="L98" s="505"/>
    </row>
    <row r="99" spans="1:12" s="113" customFormat="1" ht="24.95" customHeight="1">
      <c r="A99" s="609"/>
      <c r="B99" s="512"/>
      <c r="C99" s="71"/>
      <c r="D99" s="126">
        <f t="shared" si="4"/>
        <v>0</v>
      </c>
      <c r="E99" s="73"/>
      <c r="F99" s="73"/>
      <c r="G99" s="73"/>
      <c r="H99" s="127">
        <f t="shared" si="5"/>
        <v>0</v>
      </c>
      <c r="I99" s="74"/>
      <c r="J99" s="75"/>
      <c r="K99" s="76"/>
      <c r="L99" s="505"/>
    </row>
    <row r="100" spans="1:12" s="113" customFormat="1" ht="24.95" customHeight="1">
      <c r="A100" s="609"/>
      <c r="B100" s="512"/>
      <c r="C100" s="71"/>
      <c r="D100" s="126">
        <f t="shared" si="4"/>
        <v>0</v>
      </c>
      <c r="E100" s="72"/>
      <c r="F100" s="73"/>
      <c r="G100" s="73"/>
      <c r="H100" s="127">
        <f t="shared" si="5"/>
        <v>0</v>
      </c>
      <c r="I100" s="74"/>
      <c r="J100" s="75"/>
      <c r="K100" s="76"/>
      <c r="L100" s="505"/>
    </row>
    <row r="101" spans="1:12" s="113" customFormat="1" ht="24.95" customHeight="1">
      <c r="A101" s="609"/>
      <c r="B101" s="512"/>
      <c r="C101" s="71"/>
      <c r="D101" s="126">
        <f t="shared" si="4"/>
        <v>0</v>
      </c>
      <c r="E101" s="72"/>
      <c r="F101" s="73"/>
      <c r="G101" s="73"/>
      <c r="H101" s="127">
        <f t="shared" si="5"/>
        <v>0</v>
      </c>
      <c r="I101" s="74"/>
      <c r="J101" s="75"/>
      <c r="K101" s="76"/>
      <c r="L101" s="505"/>
    </row>
    <row r="102" spans="1:12" s="113" customFormat="1" ht="24.95" customHeight="1">
      <c r="A102" s="609"/>
      <c r="B102" s="512"/>
      <c r="C102" s="71"/>
      <c r="D102" s="126">
        <f t="shared" si="4"/>
        <v>0</v>
      </c>
      <c r="E102" s="72"/>
      <c r="F102" s="73"/>
      <c r="G102" s="73"/>
      <c r="H102" s="127">
        <f t="shared" si="5"/>
        <v>0</v>
      </c>
      <c r="I102" s="74"/>
      <c r="J102" s="75"/>
      <c r="K102" s="76"/>
      <c r="L102" s="505"/>
    </row>
    <row r="103" spans="1:12" s="113" customFormat="1" ht="24.95" customHeight="1">
      <c r="A103" s="609"/>
      <c r="B103" s="512"/>
      <c r="C103" s="71"/>
      <c r="D103" s="126">
        <f t="shared" si="4"/>
        <v>0</v>
      </c>
      <c r="E103" s="72"/>
      <c r="F103" s="73"/>
      <c r="G103" s="73"/>
      <c r="H103" s="127">
        <f t="shared" si="5"/>
        <v>0</v>
      </c>
      <c r="I103" s="74"/>
      <c r="J103" s="75"/>
      <c r="K103" s="76"/>
      <c r="L103" s="505"/>
    </row>
    <row r="104" spans="1:12" s="113" customFormat="1" ht="24.95" customHeight="1">
      <c r="A104" s="610"/>
      <c r="B104" s="512"/>
      <c r="C104" s="71"/>
      <c r="D104" s="126">
        <f t="shared" si="4"/>
        <v>0</v>
      </c>
      <c r="E104" s="72"/>
      <c r="F104" s="73"/>
      <c r="G104" s="73"/>
      <c r="H104" s="127">
        <f t="shared" si="5"/>
        <v>0</v>
      </c>
      <c r="I104" s="74"/>
      <c r="J104" s="75"/>
      <c r="K104" s="76"/>
      <c r="L104" s="505"/>
    </row>
    <row r="105" spans="1:12" s="113" customFormat="1" ht="24.95" customHeight="1">
      <c r="A105" s="77" t="s">
        <v>536</v>
      </c>
      <c r="B105" s="511"/>
      <c r="C105" s="122"/>
      <c r="D105" s="122"/>
      <c r="E105" s="122"/>
      <c r="F105" s="122"/>
      <c r="G105" s="122"/>
      <c r="H105" s="122"/>
      <c r="I105" s="123"/>
      <c r="J105" s="123"/>
      <c r="K105" s="124"/>
      <c r="L105" s="505"/>
    </row>
    <row r="106" spans="1:12" s="113" customFormat="1" ht="24.95" customHeight="1">
      <c r="A106" s="608">
        <f>SUM(D106:D110)</f>
        <v>0</v>
      </c>
      <c r="B106" s="512" t="s">
        <v>548</v>
      </c>
      <c r="C106" s="71"/>
      <c r="D106" s="126">
        <f t="shared" ref="D106:D110" si="6">(SUM(H106:I106)-SUM(J106:K106))</f>
        <v>0</v>
      </c>
      <c r="E106" s="72"/>
      <c r="F106" s="73"/>
      <c r="G106" s="528"/>
      <c r="H106" s="127">
        <f t="shared" ref="H106:H110" si="7">SUM(E106:G106)</f>
        <v>0</v>
      </c>
      <c r="I106" s="74"/>
      <c r="J106" s="75"/>
      <c r="K106" s="76"/>
      <c r="L106" s="505"/>
    </row>
    <row r="107" spans="1:12" s="113" customFormat="1" ht="24.95" customHeight="1">
      <c r="A107" s="609"/>
      <c r="B107" s="512" t="s">
        <v>549</v>
      </c>
      <c r="C107" s="71"/>
      <c r="D107" s="126">
        <f t="shared" si="6"/>
        <v>0</v>
      </c>
      <c r="E107" s="72"/>
      <c r="F107" s="73"/>
      <c r="G107" s="73"/>
      <c r="H107" s="127">
        <f t="shared" si="7"/>
        <v>0</v>
      </c>
      <c r="I107" s="74"/>
      <c r="J107" s="75"/>
      <c r="K107" s="76"/>
      <c r="L107" s="505"/>
    </row>
    <row r="108" spans="1:12" s="113" customFormat="1" ht="24.95" customHeight="1">
      <c r="A108" s="609"/>
      <c r="B108" s="512"/>
      <c r="C108" s="71"/>
      <c r="D108" s="126">
        <f t="shared" si="6"/>
        <v>0</v>
      </c>
      <c r="E108" s="72"/>
      <c r="F108" s="73"/>
      <c r="G108" s="73"/>
      <c r="H108" s="127">
        <f t="shared" si="7"/>
        <v>0</v>
      </c>
      <c r="I108" s="74"/>
      <c r="J108" s="75"/>
      <c r="K108" s="76"/>
      <c r="L108" s="505"/>
    </row>
    <row r="109" spans="1:12" s="113" customFormat="1" ht="24.95" customHeight="1">
      <c r="A109" s="609"/>
      <c r="B109" s="512"/>
      <c r="C109" s="71"/>
      <c r="D109" s="126">
        <f t="shared" si="6"/>
        <v>0</v>
      </c>
      <c r="E109" s="72"/>
      <c r="F109" s="73"/>
      <c r="G109" s="73"/>
      <c r="H109" s="127">
        <f t="shared" si="7"/>
        <v>0</v>
      </c>
      <c r="I109" s="74"/>
      <c r="J109" s="75"/>
      <c r="K109" s="76"/>
      <c r="L109" s="505"/>
    </row>
    <row r="110" spans="1:12" s="113" customFormat="1" ht="24.95" customHeight="1">
      <c r="A110" s="610"/>
      <c r="B110" s="512"/>
      <c r="C110" s="71"/>
      <c r="D110" s="126">
        <f t="shared" si="6"/>
        <v>0</v>
      </c>
      <c r="E110" s="72"/>
      <c r="F110" s="73"/>
      <c r="G110" s="73"/>
      <c r="H110" s="127">
        <f t="shared" si="7"/>
        <v>0</v>
      </c>
      <c r="I110" s="74"/>
      <c r="J110" s="75"/>
      <c r="K110" s="76"/>
      <c r="L110" s="505"/>
    </row>
    <row r="111" spans="1:12" s="125" customFormat="1" ht="24.75" customHeight="1">
      <c r="A111" s="77" t="s">
        <v>374</v>
      </c>
      <c r="B111" s="513"/>
      <c r="C111" s="129"/>
      <c r="D111" s="129"/>
      <c r="E111" s="129"/>
      <c r="F111" s="129"/>
      <c r="G111" s="129"/>
      <c r="H111" s="129"/>
      <c r="I111" s="130"/>
      <c r="J111" s="130"/>
      <c r="K111" s="131"/>
      <c r="L111" s="505"/>
    </row>
    <row r="112" spans="1:12" s="113" customFormat="1" ht="24.95" customHeight="1">
      <c r="A112" s="608">
        <f>SUM(D112:D116)</f>
        <v>2058.79</v>
      </c>
      <c r="B112" s="512" t="s">
        <v>541</v>
      </c>
      <c r="C112" s="71">
        <v>4820326</v>
      </c>
      <c r="D112" s="126">
        <f t="shared" ref="D112:D116" si="8">(SUM(H112:I112)-SUM(J112:K112))</f>
        <v>961.85</v>
      </c>
      <c r="E112" s="529"/>
      <c r="F112" s="531">
        <v>961.85</v>
      </c>
      <c r="G112" s="73"/>
      <c r="H112" s="127">
        <f>SUM(F112:G112)</f>
        <v>961.85</v>
      </c>
      <c r="I112" s="74"/>
      <c r="J112" s="75"/>
      <c r="K112" s="76"/>
      <c r="L112" s="505"/>
    </row>
    <row r="113" spans="1:12" s="113" customFormat="1" ht="24.95" customHeight="1">
      <c r="A113" s="609"/>
      <c r="B113" s="512" t="s">
        <v>541</v>
      </c>
      <c r="C113" s="71">
        <v>4820327</v>
      </c>
      <c r="D113" s="126">
        <f t="shared" si="8"/>
        <v>191.95</v>
      </c>
      <c r="E113" s="531">
        <v>191.95</v>
      </c>
      <c r="F113" s="528"/>
      <c r="G113" s="73"/>
      <c r="H113" s="127">
        <f t="shared" ref="H113:H116" si="9">SUM(E113:G113)</f>
        <v>191.95</v>
      </c>
      <c r="I113" s="74"/>
      <c r="J113" s="75"/>
      <c r="K113" s="76"/>
      <c r="L113" s="505"/>
    </row>
    <row r="114" spans="1:12" s="113" customFormat="1" ht="24.95" customHeight="1">
      <c r="A114" s="609"/>
      <c r="B114" s="512" t="s">
        <v>550</v>
      </c>
      <c r="C114" s="71">
        <v>6386683</v>
      </c>
      <c r="D114" s="126">
        <f t="shared" si="8"/>
        <v>252.5</v>
      </c>
      <c r="E114" s="73"/>
      <c r="F114" s="531">
        <v>252.5</v>
      </c>
      <c r="G114" s="73"/>
      <c r="H114" s="127">
        <f t="shared" si="9"/>
        <v>252.5</v>
      </c>
      <c r="I114" s="74"/>
      <c r="J114" s="75"/>
      <c r="K114" s="76"/>
      <c r="L114" s="505"/>
    </row>
    <row r="115" spans="1:12" s="113" customFormat="1" ht="24.95" customHeight="1">
      <c r="A115" s="609"/>
      <c r="B115" s="512" t="s">
        <v>550</v>
      </c>
      <c r="C115" s="71">
        <v>6386684</v>
      </c>
      <c r="D115" s="126">
        <f t="shared" si="8"/>
        <v>217.8</v>
      </c>
      <c r="E115" s="531">
        <v>217.8</v>
      </c>
      <c r="F115" s="73"/>
      <c r="G115" s="73"/>
      <c r="H115" s="127">
        <f t="shared" si="9"/>
        <v>217.8</v>
      </c>
      <c r="I115" s="74"/>
      <c r="J115" s="75"/>
      <c r="K115" s="76"/>
      <c r="L115" s="505"/>
    </row>
    <row r="116" spans="1:12" s="113" customFormat="1" ht="24.95" customHeight="1">
      <c r="A116" s="610"/>
      <c r="B116" s="512" t="s">
        <v>540</v>
      </c>
      <c r="C116" s="71">
        <v>6392781</v>
      </c>
      <c r="D116" s="126">
        <f t="shared" si="8"/>
        <v>434.69</v>
      </c>
      <c r="E116" s="73"/>
      <c r="F116" s="531">
        <v>434.69</v>
      </c>
      <c r="G116" s="73"/>
      <c r="H116" s="127">
        <f t="shared" si="9"/>
        <v>434.69</v>
      </c>
      <c r="I116" s="74"/>
      <c r="J116" s="75"/>
      <c r="K116" s="76"/>
      <c r="L116" s="505"/>
    </row>
    <row r="117" spans="1:12" s="125" customFormat="1" ht="24.75" customHeight="1">
      <c r="A117" s="526" t="s">
        <v>534</v>
      </c>
      <c r="B117" s="513"/>
      <c r="C117" s="129"/>
      <c r="D117" s="129"/>
      <c r="E117" s="129"/>
      <c r="F117" s="129"/>
      <c r="G117" s="129"/>
      <c r="H117" s="129"/>
      <c r="I117" s="130"/>
      <c r="J117" s="130"/>
      <c r="K117" s="131"/>
      <c r="L117" s="505">
        <f>SUM(A84,A95,A106,A112,A118,A124,A130,A136,A142,A148)</f>
        <v>15091.369999999999</v>
      </c>
    </row>
    <row r="118" spans="1:12" s="113" customFormat="1" ht="24.95" customHeight="1">
      <c r="A118" s="608">
        <f>SUM(D118:D122)</f>
        <v>1115.8400000000001</v>
      </c>
      <c r="B118" s="512" t="s">
        <v>540</v>
      </c>
      <c r="C118" s="71">
        <v>6392782</v>
      </c>
      <c r="D118" s="126">
        <f t="shared" ref="D118:D122" si="10">(SUM(H118:I118)-SUM(J118:K118))</f>
        <v>16.2</v>
      </c>
      <c r="E118" s="531">
        <v>16.2</v>
      </c>
      <c r="F118" s="73"/>
      <c r="G118" s="73"/>
      <c r="H118" s="127">
        <f t="shared" ref="H118:H122" si="11">SUM(E118:G118)</f>
        <v>16.2</v>
      </c>
      <c r="I118" s="74"/>
      <c r="J118" s="75"/>
      <c r="K118" s="76"/>
      <c r="L118" s="505"/>
    </row>
    <row r="119" spans="1:12" s="113" customFormat="1" ht="24.95" customHeight="1">
      <c r="A119" s="609"/>
      <c r="B119" s="512" t="s">
        <v>542</v>
      </c>
      <c r="C119" s="71">
        <v>4883930</v>
      </c>
      <c r="D119" s="126">
        <f t="shared" si="10"/>
        <v>975.44</v>
      </c>
      <c r="E119" s="73"/>
      <c r="F119" s="531">
        <v>975.44</v>
      </c>
      <c r="G119" s="73"/>
      <c r="H119" s="127">
        <f t="shared" si="11"/>
        <v>975.44</v>
      </c>
      <c r="I119" s="74"/>
      <c r="J119" s="75"/>
      <c r="K119" s="76"/>
      <c r="L119" s="505"/>
    </row>
    <row r="120" spans="1:12" s="113" customFormat="1" ht="24.95" customHeight="1">
      <c r="A120" s="609"/>
      <c r="B120" s="512" t="s">
        <v>542</v>
      </c>
      <c r="C120" s="71">
        <v>4883931</v>
      </c>
      <c r="D120" s="126">
        <f t="shared" si="10"/>
        <v>124.2</v>
      </c>
      <c r="E120" s="531">
        <v>124.2</v>
      </c>
      <c r="F120" s="73"/>
      <c r="G120" s="73"/>
      <c r="H120" s="127">
        <f t="shared" si="11"/>
        <v>124.2</v>
      </c>
      <c r="I120" s="74"/>
      <c r="J120" s="75"/>
      <c r="K120" s="76"/>
      <c r="L120" s="505"/>
    </row>
    <row r="121" spans="1:12" s="113" customFormat="1" ht="24.95" customHeight="1">
      <c r="A121" s="609"/>
      <c r="B121" s="512"/>
      <c r="C121" s="71"/>
      <c r="D121" s="126">
        <f t="shared" si="10"/>
        <v>0</v>
      </c>
      <c r="E121" s="72"/>
      <c r="F121" s="73"/>
      <c r="G121" s="73"/>
      <c r="H121" s="127">
        <f t="shared" si="11"/>
        <v>0</v>
      </c>
      <c r="I121" s="74"/>
      <c r="J121" s="75"/>
      <c r="K121" s="76"/>
      <c r="L121" s="505"/>
    </row>
    <row r="122" spans="1:12" s="113" customFormat="1" ht="24.95" customHeight="1">
      <c r="A122" s="610"/>
      <c r="B122" s="512"/>
      <c r="C122" s="71"/>
      <c r="D122" s="126">
        <f t="shared" si="10"/>
        <v>0</v>
      </c>
      <c r="E122" s="72"/>
      <c r="F122" s="73"/>
      <c r="G122" s="73"/>
      <c r="H122" s="127">
        <f t="shared" si="11"/>
        <v>0</v>
      </c>
      <c r="I122" s="74"/>
      <c r="J122" s="75"/>
      <c r="K122" s="76"/>
      <c r="L122" s="505"/>
    </row>
    <row r="123" spans="1:12" s="125" customFormat="1" ht="24.75" customHeight="1">
      <c r="A123" s="70" t="s">
        <v>535</v>
      </c>
      <c r="B123" s="513"/>
      <c r="C123" s="129"/>
      <c r="D123" s="129"/>
      <c r="E123" s="129"/>
      <c r="F123" s="129"/>
      <c r="G123" s="129"/>
      <c r="H123" s="129"/>
      <c r="I123" s="130"/>
      <c r="J123" s="130"/>
      <c r="K123" s="131"/>
      <c r="L123" s="505"/>
    </row>
    <row r="124" spans="1:12" s="113" customFormat="1" ht="24.95" customHeight="1">
      <c r="A124" s="608">
        <f>SUM(D124:D128)</f>
        <v>0</v>
      </c>
      <c r="B124" s="512" t="s">
        <v>548</v>
      </c>
      <c r="C124" s="71"/>
      <c r="D124" s="126">
        <f t="shared" ref="D124:D128" si="12">(SUM(H124:I124)-SUM(J124:K124))</f>
        <v>0</v>
      </c>
      <c r="E124" s="72"/>
      <c r="F124" s="73"/>
      <c r="G124" s="528"/>
      <c r="H124" s="127">
        <f t="shared" ref="H124:H128" si="13">SUM(E124:G124)</f>
        <v>0</v>
      </c>
      <c r="I124" s="74"/>
      <c r="J124" s="75"/>
      <c r="K124" s="76"/>
      <c r="L124" s="505"/>
    </row>
    <row r="125" spans="1:12" s="113" customFormat="1" ht="24.95" customHeight="1">
      <c r="A125" s="609"/>
      <c r="B125" s="512" t="s">
        <v>549</v>
      </c>
      <c r="C125" s="71"/>
      <c r="D125" s="126">
        <f t="shared" si="12"/>
        <v>0</v>
      </c>
      <c r="E125" s="72"/>
      <c r="F125" s="73"/>
      <c r="G125" s="528"/>
      <c r="H125" s="127">
        <f t="shared" si="13"/>
        <v>0</v>
      </c>
      <c r="I125" s="74"/>
      <c r="J125" s="75"/>
      <c r="K125" s="76"/>
      <c r="L125" s="505"/>
    </row>
    <row r="126" spans="1:12" s="113" customFormat="1" ht="24.95" customHeight="1">
      <c r="A126" s="609"/>
      <c r="B126" s="512"/>
      <c r="C126" s="71"/>
      <c r="D126" s="126">
        <f t="shared" si="12"/>
        <v>0</v>
      </c>
      <c r="E126" s="72"/>
      <c r="F126" s="73"/>
      <c r="G126" s="73"/>
      <c r="H126" s="127">
        <f t="shared" si="13"/>
        <v>0</v>
      </c>
      <c r="I126" s="74"/>
      <c r="J126" s="75"/>
      <c r="K126" s="76"/>
      <c r="L126" s="505"/>
    </row>
    <row r="127" spans="1:12" s="113" customFormat="1" ht="24.95" customHeight="1">
      <c r="A127" s="609"/>
      <c r="B127" s="512"/>
      <c r="C127" s="71"/>
      <c r="D127" s="126">
        <f t="shared" si="12"/>
        <v>0</v>
      </c>
      <c r="E127" s="72"/>
      <c r="F127" s="73"/>
      <c r="G127" s="73"/>
      <c r="H127" s="127">
        <f t="shared" si="13"/>
        <v>0</v>
      </c>
      <c r="I127" s="74"/>
      <c r="J127" s="75"/>
      <c r="K127" s="76"/>
      <c r="L127" s="505"/>
    </row>
    <row r="128" spans="1:12" s="113" customFormat="1" ht="24.95" customHeight="1">
      <c r="A128" s="610"/>
      <c r="B128" s="512"/>
      <c r="C128" s="71"/>
      <c r="D128" s="126">
        <f t="shared" si="12"/>
        <v>0</v>
      </c>
      <c r="E128" s="72"/>
      <c r="F128" s="73"/>
      <c r="G128" s="73"/>
      <c r="H128" s="127">
        <f t="shared" si="13"/>
        <v>0</v>
      </c>
      <c r="I128" s="74"/>
      <c r="J128" s="75"/>
      <c r="K128" s="76"/>
      <c r="L128" s="505"/>
    </row>
    <row r="129" spans="1:12" s="125" customFormat="1" ht="24.75" customHeight="1">
      <c r="A129" s="77" t="s">
        <v>537</v>
      </c>
      <c r="B129" s="513"/>
      <c r="C129" s="129"/>
      <c r="D129" s="129"/>
      <c r="E129" s="129"/>
      <c r="F129" s="129"/>
      <c r="G129" s="129"/>
      <c r="H129" s="129"/>
      <c r="I129" s="130"/>
      <c r="J129" s="130"/>
      <c r="K129" s="131"/>
      <c r="L129" s="505"/>
    </row>
    <row r="130" spans="1:12" s="113" customFormat="1" ht="24.95" customHeight="1">
      <c r="A130" s="608">
        <f>SUM(D130:D134)</f>
        <v>0</v>
      </c>
      <c r="B130" s="512"/>
      <c r="C130" s="71"/>
      <c r="D130" s="126">
        <f t="shared" ref="D130:D134" si="14">(SUM(H130:I130)-SUM(J130:K130))</f>
        <v>0</v>
      </c>
      <c r="E130" s="72"/>
      <c r="F130" s="73"/>
      <c r="G130" s="528"/>
      <c r="H130" s="127">
        <f t="shared" ref="H130:H134" si="15">SUM(E130:G130)</f>
        <v>0</v>
      </c>
      <c r="I130" s="74"/>
      <c r="J130" s="75"/>
      <c r="K130" s="76"/>
      <c r="L130" s="505"/>
    </row>
    <row r="131" spans="1:12" s="113" customFormat="1" ht="24.95" customHeight="1">
      <c r="A131" s="609"/>
      <c r="B131" s="512"/>
      <c r="C131" s="71"/>
      <c r="D131" s="126">
        <f t="shared" si="14"/>
        <v>0</v>
      </c>
      <c r="E131" s="72"/>
      <c r="F131" s="73"/>
      <c r="G131" s="73"/>
      <c r="H131" s="127">
        <f t="shared" si="15"/>
        <v>0</v>
      </c>
      <c r="I131" s="74"/>
      <c r="J131" s="75"/>
      <c r="K131" s="76"/>
      <c r="L131" s="505"/>
    </row>
    <row r="132" spans="1:12" s="113" customFormat="1" ht="24.95" customHeight="1">
      <c r="A132" s="609"/>
      <c r="B132" s="512"/>
      <c r="C132" s="71"/>
      <c r="D132" s="126">
        <f t="shared" si="14"/>
        <v>0</v>
      </c>
      <c r="E132" s="72"/>
      <c r="F132" s="73"/>
      <c r="G132" s="73"/>
      <c r="H132" s="127">
        <f t="shared" si="15"/>
        <v>0</v>
      </c>
      <c r="I132" s="74"/>
      <c r="J132" s="75"/>
      <c r="K132" s="76"/>
      <c r="L132" s="505"/>
    </row>
    <row r="133" spans="1:12" s="113" customFormat="1" ht="24.95" customHeight="1">
      <c r="A133" s="609"/>
      <c r="B133" s="512"/>
      <c r="C133" s="71"/>
      <c r="D133" s="126">
        <f t="shared" si="14"/>
        <v>0</v>
      </c>
      <c r="E133" s="72"/>
      <c r="F133" s="73"/>
      <c r="G133" s="73"/>
      <c r="H133" s="127">
        <f t="shared" si="15"/>
        <v>0</v>
      </c>
      <c r="I133" s="74"/>
      <c r="J133" s="75"/>
      <c r="K133" s="76"/>
      <c r="L133" s="505"/>
    </row>
    <row r="134" spans="1:12" s="113" customFormat="1" ht="24.95" customHeight="1">
      <c r="A134" s="610"/>
      <c r="B134" s="512"/>
      <c r="C134" s="71"/>
      <c r="D134" s="126">
        <f t="shared" si="14"/>
        <v>0</v>
      </c>
      <c r="E134" s="72"/>
      <c r="F134" s="73"/>
      <c r="G134" s="73"/>
      <c r="H134" s="127">
        <f t="shared" si="15"/>
        <v>0</v>
      </c>
      <c r="I134" s="74"/>
      <c r="J134" s="75"/>
      <c r="K134" s="76"/>
      <c r="L134" s="505"/>
    </row>
    <row r="135" spans="1:12" s="125" customFormat="1" ht="24.75" customHeight="1">
      <c r="A135" s="77" t="s">
        <v>543</v>
      </c>
      <c r="B135" s="513"/>
      <c r="C135" s="129"/>
      <c r="D135" s="129"/>
      <c r="E135" s="129"/>
      <c r="F135" s="129"/>
      <c r="G135" s="129"/>
      <c r="H135" s="129"/>
      <c r="I135" s="130"/>
      <c r="J135" s="130"/>
      <c r="K135" s="131"/>
      <c r="L135" s="505"/>
    </row>
    <row r="136" spans="1:12" s="113" customFormat="1" ht="24.95" customHeight="1">
      <c r="A136" s="608">
        <f>SUM(D136:D140)</f>
        <v>6240</v>
      </c>
      <c r="B136" s="512" t="s">
        <v>542</v>
      </c>
      <c r="C136" s="71">
        <v>2663</v>
      </c>
      <c r="D136" s="126">
        <f t="shared" ref="D136:D140" si="16">(SUM(H136:I136)-SUM(J136:K136))</f>
        <v>6240</v>
      </c>
      <c r="E136" s="72"/>
      <c r="F136" s="531">
        <v>6240</v>
      </c>
      <c r="G136" s="73"/>
      <c r="H136" s="127">
        <f t="shared" ref="H136:H140" si="17">SUM(E136:G136)</f>
        <v>6240</v>
      </c>
      <c r="I136" s="74"/>
      <c r="J136" s="75"/>
      <c r="K136" s="76"/>
      <c r="L136" s="505"/>
    </row>
    <row r="137" spans="1:12" s="113" customFormat="1" ht="24.95" customHeight="1">
      <c r="A137" s="609"/>
      <c r="B137" s="512"/>
      <c r="C137" s="71"/>
      <c r="D137" s="126">
        <f t="shared" si="16"/>
        <v>0</v>
      </c>
      <c r="E137" s="72"/>
      <c r="F137" s="73"/>
      <c r="G137" s="73"/>
      <c r="H137" s="127">
        <f t="shared" si="17"/>
        <v>0</v>
      </c>
      <c r="I137" s="74"/>
      <c r="J137" s="75"/>
      <c r="K137" s="76"/>
      <c r="L137" s="505"/>
    </row>
    <row r="138" spans="1:12" s="113" customFormat="1" ht="24.95" customHeight="1">
      <c r="A138" s="609"/>
      <c r="B138" s="512"/>
      <c r="C138" s="71"/>
      <c r="D138" s="126">
        <f t="shared" si="16"/>
        <v>0</v>
      </c>
      <c r="E138" s="72"/>
      <c r="F138" s="73"/>
      <c r="G138" s="73"/>
      <c r="H138" s="127">
        <f t="shared" si="17"/>
        <v>0</v>
      </c>
      <c r="I138" s="74"/>
      <c r="J138" s="75"/>
      <c r="K138" s="76"/>
      <c r="L138" s="505"/>
    </row>
    <row r="139" spans="1:12" s="113" customFormat="1" ht="24.95" customHeight="1">
      <c r="A139" s="609"/>
      <c r="B139" s="512"/>
      <c r="C139" s="71"/>
      <c r="D139" s="126">
        <f t="shared" si="16"/>
        <v>0</v>
      </c>
      <c r="E139" s="72"/>
      <c r="F139" s="73"/>
      <c r="G139" s="73"/>
      <c r="H139" s="127">
        <f t="shared" si="17"/>
        <v>0</v>
      </c>
      <c r="I139" s="74"/>
      <c r="J139" s="75"/>
      <c r="K139" s="76"/>
      <c r="L139" s="505"/>
    </row>
    <row r="140" spans="1:12" s="113" customFormat="1" ht="24.95" customHeight="1">
      <c r="A140" s="610"/>
      <c r="B140" s="512"/>
      <c r="C140" s="71"/>
      <c r="D140" s="126">
        <f t="shared" si="16"/>
        <v>0</v>
      </c>
      <c r="E140" s="72"/>
      <c r="F140" s="73"/>
      <c r="G140" s="73"/>
      <c r="H140" s="127">
        <f t="shared" si="17"/>
        <v>0</v>
      </c>
      <c r="I140" s="74"/>
      <c r="J140" s="75"/>
      <c r="K140" s="76"/>
      <c r="L140" s="505"/>
    </row>
    <row r="141" spans="1:12" s="125" customFormat="1" ht="24.75" customHeight="1">
      <c r="A141" s="77"/>
      <c r="B141" s="513"/>
      <c r="C141" s="129"/>
      <c r="D141" s="129"/>
      <c r="E141" s="129"/>
      <c r="F141" s="129"/>
      <c r="G141" s="129"/>
      <c r="H141" s="129"/>
      <c r="I141" s="130"/>
      <c r="J141" s="130"/>
      <c r="K141" s="131"/>
      <c r="L141" s="505"/>
    </row>
    <row r="142" spans="1:12" s="113" customFormat="1" ht="24.95" customHeight="1">
      <c r="A142" s="608">
        <f>SUM(D142:D146)</f>
        <v>0</v>
      </c>
      <c r="B142" s="512"/>
      <c r="C142" s="71"/>
      <c r="D142" s="126">
        <f t="shared" ref="D142:D146" si="18">(SUM(H142:I142)-SUM(J142:K142))</f>
        <v>0</v>
      </c>
      <c r="E142" s="72"/>
      <c r="F142" s="73"/>
      <c r="G142" s="73"/>
      <c r="H142" s="127">
        <f t="shared" ref="H142:H146" si="19">SUM(E142:G142)</f>
        <v>0</v>
      </c>
      <c r="I142" s="74"/>
      <c r="J142" s="75"/>
      <c r="K142" s="76"/>
      <c r="L142" s="505"/>
    </row>
    <row r="143" spans="1:12" s="113" customFormat="1" ht="24.95" customHeight="1">
      <c r="A143" s="609"/>
      <c r="B143" s="512"/>
      <c r="C143" s="71"/>
      <c r="D143" s="126">
        <f t="shared" si="18"/>
        <v>0</v>
      </c>
      <c r="E143" s="72"/>
      <c r="F143" s="73"/>
      <c r="G143" s="73"/>
      <c r="H143" s="127">
        <f t="shared" si="19"/>
        <v>0</v>
      </c>
      <c r="I143" s="74"/>
      <c r="J143" s="75"/>
      <c r="K143" s="76"/>
      <c r="L143" s="505"/>
    </row>
    <row r="144" spans="1:12" s="113" customFormat="1" ht="24.95" customHeight="1">
      <c r="A144" s="609"/>
      <c r="B144" s="512"/>
      <c r="C144" s="71"/>
      <c r="D144" s="126">
        <f t="shared" si="18"/>
        <v>0</v>
      </c>
      <c r="E144" s="72"/>
      <c r="F144" s="73"/>
      <c r="G144" s="73"/>
      <c r="H144" s="127">
        <f t="shared" si="19"/>
        <v>0</v>
      </c>
      <c r="I144" s="74"/>
      <c r="J144" s="75"/>
      <c r="K144" s="76"/>
      <c r="L144" s="505"/>
    </row>
    <row r="145" spans="1:12" s="113" customFormat="1" ht="24.95" customHeight="1">
      <c r="A145" s="609"/>
      <c r="B145" s="512"/>
      <c r="C145" s="71"/>
      <c r="D145" s="126">
        <f t="shared" si="18"/>
        <v>0</v>
      </c>
      <c r="E145" s="72"/>
      <c r="F145" s="73"/>
      <c r="G145" s="73"/>
      <c r="H145" s="127">
        <f t="shared" si="19"/>
        <v>0</v>
      </c>
      <c r="I145" s="74"/>
      <c r="J145" s="75"/>
      <c r="K145" s="76"/>
      <c r="L145" s="505"/>
    </row>
    <row r="146" spans="1:12" s="113" customFormat="1" ht="24.95" customHeight="1">
      <c r="A146" s="610"/>
      <c r="B146" s="512"/>
      <c r="C146" s="71"/>
      <c r="D146" s="126">
        <f t="shared" si="18"/>
        <v>0</v>
      </c>
      <c r="E146" s="72"/>
      <c r="F146" s="73"/>
      <c r="G146" s="73"/>
      <c r="H146" s="127">
        <f t="shared" si="19"/>
        <v>0</v>
      </c>
      <c r="I146" s="74"/>
      <c r="J146" s="75"/>
      <c r="K146" s="76"/>
      <c r="L146" s="505"/>
    </row>
    <row r="147" spans="1:12" s="125" customFormat="1" ht="24.75" customHeight="1">
      <c r="A147" s="77"/>
      <c r="B147" s="513"/>
      <c r="C147" s="129"/>
      <c r="D147" s="129"/>
      <c r="E147" s="129"/>
      <c r="F147" s="129"/>
      <c r="G147" s="129"/>
      <c r="H147" s="129"/>
      <c r="I147" s="130"/>
      <c r="J147" s="130"/>
      <c r="K147" s="131"/>
      <c r="L147" s="505"/>
    </row>
    <row r="148" spans="1:12" s="113" customFormat="1" ht="24.95" customHeight="1">
      <c r="A148" s="608">
        <f>SUM(D148:D152)</f>
        <v>0</v>
      </c>
      <c r="B148" s="512"/>
      <c r="C148" s="71"/>
      <c r="D148" s="126">
        <f t="shared" ref="D148:D149" si="20">(SUM(H148:I148)-SUM(J148:K148))</f>
        <v>0</v>
      </c>
      <c r="E148" s="72"/>
      <c r="F148" s="73"/>
      <c r="G148" s="73"/>
      <c r="H148" s="127">
        <f t="shared" ref="H148:H149" si="21">SUM(E148:G148)</f>
        <v>0</v>
      </c>
      <c r="I148" s="74"/>
      <c r="J148" s="75"/>
      <c r="K148" s="76"/>
      <c r="L148" s="505"/>
    </row>
    <row r="149" spans="1:12" s="113" customFormat="1" ht="24.95" customHeight="1">
      <c r="A149" s="609"/>
      <c r="B149" s="512"/>
      <c r="C149" s="71"/>
      <c r="D149" s="126">
        <f t="shared" si="20"/>
        <v>0</v>
      </c>
      <c r="E149" s="72"/>
      <c r="F149" s="73"/>
      <c r="G149" s="73"/>
      <c r="H149" s="127">
        <f t="shared" si="21"/>
        <v>0</v>
      </c>
      <c r="I149" s="74"/>
      <c r="J149" s="75"/>
      <c r="K149" s="76"/>
      <c r="L149" s="505"/>
    </row>
    <row r="150" spans="1:12" s="113" customFormat="1" ht="24.95" customHeight="1">
      <c r="A150" s="609"/>
      <c r="B150" s="512"/>
      <c r="C150" s="71"/>
      <c r="D150" s="126">
        <f t="shared" ref="D150" si="22">(SUM(H150:I150)-SUM(J150:K150))</f>
        <v>0</v>
      </c>
      <c r="E150" s="72"/>
      <c r="F150" s="73"/>
      <c r="G150" s="73"/>
      <c r="H150" s="127">
        <f t="shared" ref="H150" si="23">SUM(E150:G150)</f>
        <v>0</v>
      </c>
      <c r="I150" s="74"/>
      <c r="J150" s="75"/>
      <c r="K150" s="76"/>
      <c r="L150" s="505"/>
    </row>
    <row r="151" spans="1:12" s="113" customFormat="1" ht="24.95" customHeight="1">
      <c r="A151" s="609"/>
      <c r="B151" s="512"/>
      <c r="C151" s="71"/>
      <c r="D151" s="126">
        <f t="shared" ref="D151:D169" si="24">(SUM(H151:I151)-SUM(J151:K151))</f>
        <v>0</v>
      </c>
      <c r="E151" s="72"/>
      <c r="F151" s="73"/>
      <c r="G151" s="73"/>
      <c r="H151" s="127">
        <f t="shared" ref="H151:H169" si="25">SUM(E151:G151)</f>
        <v>0</v>
      </c>
      <c r="I151" s="74"/>
      <c r="J151" s="75"/>
      <c r="K151" s="76"/>
      <c r="L151" s="505"/>
    </row>
    <row r="152" spans="1:12" s="113" customFormat="1" ht="24.95" customHeight="1">
      <c r="A152" s="610"/>
      <c r="B152" s="512"/>
      <c r="C152" s="71"/>
      <c r="D152" s="126">
        <f t="shared" si="24"/>
        <v>0</v>
      </c>
      <c r="E152" s="72"/>
      <c r="F152" s="73"/>
      <c r="G152" s="73"/>
      <c r="H152" s="127">
        <f t="shared" si="25"/>
        <v>0</v>
      </c>
      <c r="I152" s="74"/>
      <c r="J152" s="75"/>
      <c r="K152" s="76"/>
      <c r="L152" s="505"/>
    </row>
    <row r="153" spans="1:12" s="125" customFormat="1" ht="24.75" customHeight="1">
      <c r="A153" s="611" t="s">
        <v>528</v>
      </c>
      <c r="B153" s="612"/>
      <c r="C153" s="612"/>
      <c r="D153" s="612"/>
      <c r="E153" s="612"/>
      <c r="F153" s="612"/>
      <c r="G153" s="612"/>
      <c r="H153" s="612"/>
      <c r="I153" s="612"/>
      <c r="J153" s="612"/>
      <c r="K153" s="613"/>
      <c r="L153" s="502"/>
    </row>
    <row r="154" spans="1:12" s="125" customFormat="1" ht="24.75" customHeight="1">
      <c r="A154" s="614"/>
      <c r="B154" s="615"/>
      <c r="C154" s="615"/>
      <c r="D154" s="615"/>
      <c r="E154" s="615"/>
      <c r="F154" s="615"/>
      <c r="G154" s="615"/>
      <c r="H154" s="615"/>
      <c r="I154" s="615"/>
      <c r="J154" s="615"/>
      <c r="K154" s="616"/>
      <c r="L154" s="502"/>
    </row>
    <row r="155" spans="1:12" s="125" customFormat="1" ht="24.75" customHeight="1">
      <c r="A155" s="617"/>
      <c r="B155" s="618"/>
      <c r="C155" s="618"/>
      <c r="D155" s="618"/>
      <c r="E155" s="618"/>
      <c r="F155" s="618"/>
      <c r="G155" s="618"/>
      <c r="H155" s="618"/>
      <c r="I155" s="618"/>
      <c r="J155" s="618"/>
      <c r="K155" s="619"/>
      <c r="L155" s="502"/>
    </row>
    <row r="156" spans="1:12" s="125" customFormat="1" ht="24.75">
      <c r="A156" s="77" t="s">
        <v>253</v>
      </c>
      <c r="B156" s="513"/>
      <c r="C156" s="129"/>
      <c r="D156" s="129"/>
      <c r="E156" s="129"/>
      <c r="F156" s="129"/>
      <c r="G156" s="129"/>
      <c r="H156" s="129"/>
      <c r="I156" s="130"/>
      <c r="J156" s="130"/>
      <c r="K156" s="131"/>
      <c r="L156" s="502"/>
    </row>
    <row r="157" spans="1:12" s="113" customFormat="1" ht="24.95" customHeight="1">
      <c r="A157" s="605">
        <f>SUM(D157:D176)</f>
        <v>2823.58</v>
      </c>
      <c r="B157" s="512">
        <v>46024</v>
      </c>
      <c r="C157" s="71">
        <v>103137498</v>
      </c>
      <c r="D157" s="126">
        <f t="shared" si="24"/>
        <v>303.08000000000004</v>
      </c>
      <c r="E157" s="72"/>
      <c r="F157" s="73">
        <v>71.180000000000007</v>
      </c>
      <c r="G157" s="73"/>
      <c r="H157" s="127">
        <f t="shared" si="25"/>
        <v>71.180000000000007</v>
      </c>
      <c r="I157" s="74">
        <v>231.9</v>
      </c>
      <c r="J157" s="75"/>
      <c r="K157" s="76"/>
      <c r="L157" s="500"/>
    </row>
    <row r="158" spans="1:12" s="113" customFormat="1" ht="24.95" customHeight="1">
      <c r="A158" s="606"/>
      <c r="B158" s="512">
        <v>46027</v>
      </c>
      <c r="C158" s="71">
        <v>103141911</v>
      </c>
      <c r="D158" s="126">
        <f t="shared" si="24"/>
        <v>374.37</v>
      </c>
      <c r="E158" s="72"/>
      <c r="F158" s="73"/>
      <c r="G158" s="73"/>
      <c r="H158" s="127">
        <f t="shared" si="25"/>
        <v>0</v>
      </c>
      <c r="I158" s="74">
        <v>374.37</v>
      </c>
      <c r="J158" s="75"/>
      <c r="K158" s="76"/>
      <c r="L158" s="500"/>
    </row>
    <row r="159" spans="1:12" s="113" customFormat="1" ht="24.95" customHeight="1">
      <c r="A159" s="606"/>
      <c r="B159" s="512">
        <v>46029</v>
      </c>
      <c r="C159" s="71">
        <v>103143928</v>
      </c>
      <c r="D159" s="126">
        <f t="shared" si="24"/>
        <v>284.72000000000003</v>
      </c>
      <c r="E159" s="72"/>
      <c r="F159" s="73">
        <v>284.72000000000003</v>
      </c>
      <c r="G159" s="73"/>
      <c r="H159" s="127">
        <f t="shared" si="25"/>
        <v>284.72000000000003</v>
      </c>
      <c r="I159" s="74"/>
      <c r="J159" s="75"/>
      <c r="K159" s="76"/>
      <c r="L159" s="500"/>
    </row>
    <row r="160" spans="1:12" s="113" customFormat="1" ht="24.95" customHeight="1">
      <c r="A160" s="606"/>
      <c r="B160" s="512">
        <v>46031</v>
      </c>
      <c r="C160" s="71">
        <v>103146530</v>
      </c>
      <c r="D160" s="126">
        <f t="shared" si="24"/>
        <v>19.649999999999999</v>
      </c>
      <c r="E160" s="72"/>
      <c r="F160" s="73"/>
      <c r="G160" s="73"/>
      <c r="H160" s="127">
        <f t="shared" si="25"/>
        <v>0</v>
      </c>
      <c r="I160" s="74">
        <v>19.649999999999999</v>
      </c>
      <c r="J160" s="75"/>
      <c r="K160" s="76"/>
      <c r="L160" s="500"/>
    </row>
    <row r="161" spans="1:12" s="113" customFormat="1" ht="24.95" customHeight="1">
      <c r="A161" s="606"/>
      <c r="B161" s="512">
        <v>46032</v>
      </c>
      <c r="C161" s="71">
        <v>103148204</v>
      </c>
      <c r="D161" s="126">
        <f t="shared" si="24"/>
        <v>53.71</v>
      </c>
      <c r="E161" s="72"/>
      <c r="F161" s="73">
        <v>53.71</v>
      </c>
      <c r="G161" s="73"/>
      <c r="H161" s="127">
        <f t="shared" si="25"/>
        <v>53.71</v>
      </c>
      <c r="I161" s="74"/>
      <c r="J161" s="75"/>
      <c r="K161" s="76"/>
      <c r="L161" s="500"/>
    </row>
    <row r="162" spans="1:12" s="113" customFormat="1" ht="24.95" customHeight="1">
      <c r="A162" s="606"/>
      <c r="B162" s="512">
        <v>46036</v>
      </c>
      <c r="C162" s="71">
        <v>103152869</v>
      </c>
      <c r="D162" s="126">
        <f t="shared" ref="D162" si="26">(SUM(H162:I162)-SUM(J162:K162))</f>
        <v>26.52</v>
      </c>
      <c r="E162" s="72"/>
      <c r="F162" s="73"/>
      <c r="G162" s="73"/>
      <c r="H162" s="127">
        <f t="shared" ref="H162" si="27">SUM(E162:G162)</f>
        <v>0</v>
      </c>
      <c r="I162" s="74">
        <v>26.52</v>
      </c>
      <c r="J162" s="75"/>
      <c r="K162" s="76"/>
      <c r="L162" s="500"/>
    </row>
    <row r="163" spans="1:12" s="113" customFormat="1" ht="24.95" customHeight="1">
      <c r="A163" s="606"/>
      <c r="B163" s="512">
        <v>46038</v>
      </c>
      <c r="C163" s="71">
        <v>103155568</v>
      </c>
      <c r="D163" s="126">
        <f t="shared" si="24"/>
        <v>347.85</v>
      </c>
      <c r="E163" s="72"/>
      <c r="F163" s="73"/>
      <c r="G163" s="73"/>
      <c r="H163" s="127">
        <f t="shared" si="25"/>
        <v>0</v>
      </c>
      <c r="I163" s="74">
        <v>347.85</v>
      </c>
      <c r="J163" s="75"/>
      <c r="K163" s="76"/>
      <c r="L163" s="500"/>
    </row>
    <row r="164" spans="1:12" s="113" customFormat="1" ht="24.95" customHeight="1">
      <c r="A164" s="606"/>
      <c r="B164" s="512">
        <v>46045</v>
      </c>
      <c r="C164" s="71">
        <v>103164282</v>
      </c>
      <c r="D164" s="126">
        <f t="shared" si="24"/>
        <v>819.91000000000008</v>
      </c>
      <c r="E164" s="72"/>
      <c r="F164" s="73">
        <v>338.43</v>
      </c>
      <c r="G164" s="73"/>
      <c r="H164" s="127">
        <f t="shared" si="25"/>
        <v>338.43</v>
      </c>
      <c r="I164" s="74">
        <v>481.48</v>
      </c>
      <c r="J164" s="75"/>
      <c r="K164" s="76"/>
      <c r="L164" s="500"/>
    </row>
    <row r="165" spans="1:12" s="113" customFormat="1" ht="24.95" customHeight="1">
      <c r="A165" s="606"/>
      <c r="B165" s="512">
        <v>46048</v>
      </c>
      <c r="C165" s="71">
        <v>103168629</v>
      </c>
      <c r="D165" s="126">
        <f t="shared" si="24"/>
        <v>121</v>
      </c>
      <c r="E165" s="72"/>
      <c r="F165" s="73"/>
      <c r="G165" s="73"/>
      <c r="H165" s="127">
        <f t="shared" si="25"/>
        <v>0</v>
      </c>
      <c r="I165" s="74">
        <v>121</v>
      </c>
      <c r="J165" s="75"/>
      <c r="K165" s="76"/>
      <c r="L165" s="500"/>
    </row>
    <row r="166" spans="1:12" s="113" customFormat="1" ht="24.95" customHeight="1">
      <c r="A166" s="606"/>
      <c r="B166" s="512">
        <v>46050</v>
      </c>
      <c r="C166" s="71">
        <v>103170440</v>
      </c>
      <c r="D166" s="126">
        <f t="shared" si="24"/>
        <v>142.47</v>
      </c>
      <c r="E166" s="72"/>
      <c r="F166" s="73"/>
      <c r="G166" s="73"/>
      <c r="H166" s="127">
        <f t="shared" si="25"/>
        <v>0</v>
      </c>
      <c r="I166" s="74">
        <v>142.47</v>
      </c>
      <c r="J166" s="75"/>
      <c r="K166" s="76"/>
      <c r="L166" s="500"/>
    </row>
    <row r="167" spans="1:12" s="113" customFormat="1" ht="24.95" customHeight="1">
      <c r="A167" s="606"/>
      <c r="B167" s="512">
        <v>46052</v>
      </c>
      <c r="C167" s="71">
        <v>103172933</v>
      </c>
      <c r="D167" s="126">
        <f t="shared" si="24"/>
        <v>330.29999999999995</v>
      </c>
      <c r="E167" s="72"/>
      <c r="F167" s="73">
        <v>53.71</v>
      </c>
      <c r="G167" s="73"/>
      <c r="H167" s="127">
        <f t="shared" si="25"/>
        <v>53.71</v>
      </c>
      <c r="I167" s="74">
        <v>276.58999999999997</v>
      </c>
      <c r="J167" s="75"/>
      <c r="K167" s="76"/>
      <c r="L167" s="500"/>
    </row>
    <row r="168" spans="1:12" s="113" customFormat="1" ht="24.95" customHeight="1">
      <c r="A168" s="606"/>
      <c r="B168" s="512"/>
      <c r="C168" s="71"/>
      <c r="D168" s="126">
        <f t="shared" si="24"/>
        <v>0</v>
      </c>
      <c r="E168" s="72"/>
      <c r="F168" s="73"/>
      <c r="G168" s="73"/>
      <c r="H168" s="127">
        <f t="shared" si="25"/>
        <v>0</v>
      </c>
      <c r="I168" s="74"/>
      <c r="J168" s="75"/>
      <c r="K168" s="76"/>
      <c r="L168" s="500"/>
    </row>
    <row r="169" spans="1:12" s="113" customFormat="1" ht="24.95" customHeight="1">
      <c r="A169" s="606"/>
      <c r="B169" s="512"/>
      <c r="C169" s="71"/>
      <c r="D169" s="126">
        <f t="shared" si="24"/>
        <v>0</v>
      </c>
      <c r="E169" s="72"/>
      <c r="F169" s="73"/>
      <c r="G169" s="73"/>
      <c r="H169" s="127">
        <f t="shared" si="25"/>
        <v>0</v>
      </c>
      <c r="I169" s="74"/>
      <c r="J169" s="75"/>
      <c r="K169" s="76"/>
      <c r="L169" s="500"/>
    </row>
    <row r="170" spans="1:12" s="113" customFormat="1" ht="24.95" customHeight="1">
      <c r="A170" s="606"/>
      <c r="B170" s="512"/>
      <c r="C170" s="71"/>
      <c r="D170" s="126">
        <f t="shared" ref="D170:D171" si="28">(SUM(H170:I170)-SUM(J170:K170))</f>
        <v>0</v>
      </c>
      <c r="E170" s="72"/>
      <c r="F170" s="73"/>
      <c r="G170" s="73"/>
      <c r="H170" s="127">
        <f t="shared" ref="H170:H171" si="29">SUM(E170:G170)</f>
        <v>0</v>
      </c>
      <c r="I170" s="74"/>
      <c r="J170" s="75"/>
      <c r="K170" s="76"/>
      <c r="L170" s="500"/>
    </row>
    <row r="171" spans="1:12" s="113" customFormat="1" ht="24.95" customHeight="1">
      <c r="A171" s="606"/>
      <c r="B171" s="512"/>
      <c r="C171" s="71"/>
      <c r="D171" s="126">
        <f t="shared" si="28"/>
        <v>0</v>
      </c>
      <c r="E171" s="72"/>
      <c r="F171" s="73"/>
      <c r="G171" s="73"/>
      <c r="H171" s="127">
        <f t="shared" si="29"/>
        <v>0</v>
      </c>
      <c r="I171" s="74"/>
      <c r="J171" s="75"/>
      <c r="K171" s="76"/>
      <c r="L171" s="500"/>
    </row>
    <row r="172" spans="1:12" s="113" customFormat="1" ht="24.95" customHeight="1">
      <c r="A172" s="606"/>
      <c r="B172" s="512"/>
      <c r="C172" s="71"/>
      <c r="D172" s="126">
        <f t="shared" ref="D172:D190" si="30">(SUM(H172:I172)-SUM(J172:K172))</f>
        <v>0</v>
      </c>
      <c r="E172" s="72"/>
      <c r="F172" s="73"/>
      <c r="G172" s="73"/>
      <c r="H172" s="127">
        <f t="shared" ref="H172:H190" si="31">SUM(E172:G172)</f>
        <v>0</v>
      </c>
      <c r="I172" s="74"/>
      <c r="J172" s="75"/>
      <c r="K172" s="76"/>
      <c r="L172" s="500"/>
    </row>
    <row r="173" spans="1:12" s="113" customFormat="1" ht="24.95" customHeight="1">
      <c r="A173" s="606"/>
      <c r="B173" s="512"/>
      <c r="C173" s="71"/>
      <c r="D173" s="126">
        <f t="shared" si="30"/>
        <v>0</v>
      </c>
      <c r="E173" s="72"/>
      <c r="F173" s="73"/>
      <c r="G173" s="73"/>
      <c r="H173" s="127">
        <f t="shared" si="31"/>
        <v>0</v>
      </c>
      <c r="I173" s="74"/>
      <c r="J173" s="75"/>
      <c r="K173" s="76"/>
      <c r="L173" s="500"/>
    </row>
    <row r="174" spans="1:12" s="113" customFormat="1" ht="24.95" customHeight="1">
      <c r="A174" s="606"/>
      <c r="B174" s="512"/>
      <c r="C174" s="71"/>
      <c r="D174" s="126">
        <f t="shared" ref="D174" si="32">(SUM(H174:I174)-SUM(J174:K174))</f>
        <v>0</v>
      </c>
      <c r="E174" s="72"/>
      <c r="F174" s="73"/>
      <c r="G174" s="73"/>
      <c r="H174" s="127">
        <f t="shared" ref="H174" si="33">SUM(E174:G174)</f>
        <v>0</v>
      </c>
      <c r="I174" s="74"/>
      <c r="J174" s="75"/>
      <c r="K174" s="76"/>
      <c r="L174" s="500"/>
    </row>
    <row r="175" spans="1:12" s="113" customFormat="1" ht="24.95" customHeight="1">
      <c r="A175" s="606"/>
      <c r="B175" s="512"/>
      <c r="C175" s="71"/>
      <c r="D175" s="126">
        <f t="shared" si="30"/>
        <v>0</v>
      </c>
      <c r="E175" s="72"/>
      <c r="F175" s="73"/>
      <c r="G175" s="73"/>
      <c r="H175" s="127">
        <f t="shared" si="31"/>
        <v>0</v>
      </c>
      <c r="I175" s="74"/>
      <c r="J175" s="75"/>
      <c r="K175" s="76"/>
      <c r="L175" s="500"/>
    </row>
    <row r="176" spans="1:12" s="113" customFormat="1" ht="24.95" customHeight="1">
      <c r="A176" s="607"/>
      <c r="B176" s="512"/>
      <c r="C176" s="71"/>
      <c r="D176" s="126">
        <f t="shared" si="30"/>
        <v>0</v>
      </c>
      <c r="E176" s="72"/>
      <c r="F176" s="73"/>
      <c r="G176" s="73"/>
      <c r="H176" s="127">
        <f t="shared" si="31"/>
        <v>0</v>
      </c>
      <c r="I176" s="74"/>
      <c r="J176" s="75"/>
      <c r="K176" s="76"/>
      <c r="L176" s="500"/>
    </row>
    <row r="177" spans="1:12" s="125" customFormat="1" ht="24.75">
      <c r="A177" s="77" t="s">
        <v>375</v>
      </c>
      <c r="B177" s="513"/>
      <c r="C177" s="129"/>
      <c r="D177" s="129"/>
      <c r="E177" s="129"/>
      <c r="F177" s="129"/>
      <c r="G177" s="129"/>
      <c r="H177" s="129"/>
      <c r="I177" s="130"/>
      <c r="J177" s="130"/>
      <c r="K177" s="131"/>
      <c r="L177" s="502"/>
    </row>
    <row r="178" spans="1:12" s="113" customFormat="1" ht="24.95" customHeight="1">
      <c r="A178" s="608">
        <f>SUM(D178:D182)</f>
        <v>0</v>
      </c>
      <c r="B178" s="512"/>
      <c r="C178" s="71"/>
      <c r="D178" s="126">
        <f t="shared" si="30"/>
        <v>0</v>
      </c>
      <c r="E178" s="72"/>
      <c r="F178" s="73"/>
      <c r="G178" s="73"/>
      <c r="H178" s="127">
        <f t="shared" si="31"/>
        <v>0</v>
      </c>
      <c r="I178" s="74"/>
      <c r="J178" s="75"/>
      <c r="K178" s="76"/>
      <c r="L178" s="500"/>
    </row>
    <row r="179" spans="1:12" s="113" customFormat="1" ht="24.95" customHeight="1">
      <c r="A179" s="609"/>
      <c r="B179" s="512"/>
      <c r="C179" s="71"/>
      <c r="D179" s="126">
        <f t="shared" si="30"/>
        <v>0</v>
      </c>
      <c r="E179" s="72"/>
      <c r="F179" s="73"/>
      <c r="G179" s="73"/>
      <c r="H179" s="127">
        <f t="shared" si="31"/>
        <v>0</v>
      </c>
      <c r="I179" s="74"/>
      <c r="J179" s="75"/>
      <c r="K179" s="76"/>
      <c r="L179" s="500"/>
    </row>
    <row r="180" spans="1:12" s="113" customFormat="1" ht="24.95" customHeight="1">
      <c r="A180" s="609"/>
      <c r="B180" s="512"/>
      <c r="C180" s="71"/>
      <c r="D180" s="126">
        <f t="shared" si="30"/>
        <v>0</v>
      </c>
      <c r="E180" s="72"/>
      <c r="F180" s="73"/>
      <c r="G180" s="73"/>
      <c r="H180" s="127">
        <f t="shared" si="31"/>
        <v>0</v>
      </c>
      <c r="I180" s="74"/>
      <c r="J180" s="75"/>
      <c r="K180" s="76"/>
      <c r="L180" s="500"/>
    </row>
    <row r="181" spans="1:12" s="113" customFormat="1" ht="24.95" customHeight="1">
      <c r="A181" s="609"/>
      <c r="B181" s="512"/>
      <c r="C181" s="71"/>
      <c r="D181" s="126">
        <f t="shared" si="30"/>
        <v>0</v>
      </c>
      <c r="E181" s="72"/>
      <c r="F181" s="73"/>
      <c r="G181" s="73"/>
      <c r="H181" s="127">
        <f t="shared" si="31"/>
        <v>0</v>
      </c>
      <c r="I181" s="74"/>
      <c r="J181" s="75"/>
      <c r="K181" s="76"/>
      <c r="L181" s="500"/>
    </row>
    <row r="182" spans="1:12" s="113" customFormat="1" ht="24.95" customHeight="1">
      <c r="A182" s="610"/>
      <c r="B182" s="512"/>
      <c r="C182" s="71"/>
      <c r="D182" s="126">
        <f t="shared" si="30"/>
        <v>0</v>
      </c>
      <c r="E182" s="72"/>
      <c r="F182" s="73"/>
      <c r="G182" s="73"/>
      <c r="H182" s="127">
        <f t="shared" si="31"/>
        <v>0</v>
      </c>
      <c r="I182" s="74"/>
      <c r="J182" s="75"/>
      <c r="K182" s="76"/>
      <c r="L182" s="500"/>
    </row>
    <row r="183" spans="1:12" s="125" customFormat="1" ht="24.75">
      <c r="A183" s="77" t="s">
        <v>527</v>
      </c>
      <c r="B183" s="513"/>
      <c r="C183" s="129"/>
      <c r="D183" s="129"/>
      <c r="E183" s="129"/>
      <c r="F183" s="129"/>
      <c r="G183" s="129"/>
      <c r="H183" s="129"/>
      <c r="I183" s="130"/>
      <c r="J183" s="130"/>
      <c r="K183" s="131"/>
      <c r="L183" s="502"/>
    </row>
    <row r="184" spans="1:12" s="113" customFormat="1" ht="24.95" customHeight="1">
      <c r="A184" s="608">
        <f>SUM(D184:D188)</f>
        <v>0</v>
      </c>
      <c r="B184" s="512"/>
      <c r="C184" s="71"/>
      <c r="D184" s="126">
        <f t="shared" ref="D184" si="34">(SUM(H184:I184)-SUM(J184:K184))</f>
        <v>0</v>
      </c>
      <c r="E184" s="72"/>
      <c r="F184" s="73"/>
      <c r="G184" s="73"/>
      <c r="H184" s="127">
        <f t="shared" ref="H184" si="35">SUM(E184:G184)</f>
        <v>0</v>
      </c>
      <c r="I184" s="74"/>
      <c r="J184" s="75"/>
      <c r="K184" s="76"/>
      <c r="L184" s="500"/>
    </row>
    <row r="185" spans="1:12" s="113" customFormat="1" ht="24.95" customHeight="1">
      <c r="A185" s="609"/>
      <c r="B185" s="512"/>
      <c r="C185" s="71"/>
      <c r="D185" s="126">
        <f t="shared" si="30"/>
        <v>0</v>
      </c>
      <c r="E185" s="72"/>
      <c r="F185" s="73"/>
      <c r="G185" s="73"/>
      <c r="H185" s="127">
        <f t="shared" si="31"/>
        <v>0</v>
      </c>
      <c r="I185" s="74"/>
      <c r="J185" s="75"/>
      <c r="K185" s="76"/>
      <c r="L185" s="500"/>
    </row>
    <row r="186" spans="1:12" s="113" customFormat="1" ht="24.95" customHeight="1">
      <c r="A186" s="609"/>
      <c r="B186" s="512"/>
      <c r="C186" s="71"/>
      <c r="D186" s="126">
        <f t="shared" ref="D186" si="36">(SUM(H186:I186)-SUM(J186:K186))</f>
        <v>0</v>
      </c>
      <c r="E186" s="72"/>
      <c r="F186" s="73"/>
      <c r="G186" s="73"/>
      <c r="H186" s="127">
        <f t="shared" ref="H186" si="37">SUM(E186:G186)</f>
        <v>0</v>
      </c>
      <c r="I186" s="74"/>
      <c r="J186" s="75"/>
      <c r="K186" s="76"/>
      <c r="L186" s="500"/>
    </row>
    <row r="187" spans="1:12" s="113" customFormat="1" ht="24.95" customHeight="1">
      <c r="A187" s="609"/>
      <c r="B187" s="512"/>
      <c r="C187" s="71"/>
      <c r="D187" s="126">
        <f t="shared" si="30"/>
        <v>0</v>
      </c>
      <c r="E187" s="72"/>
      <c r="F187" s="73"/>
      <c r="G187" s="73"/>
      <c r="H187" s="127">
        <f t="shared" si="31"/>
        <v>0</v>
      </c>
      <c r="I187" s="74"/>
      <c r="J187" s="75"/>
      <c r="K187" s="76"/>
      <c r="L187" s="500"/>
    </row>
    <row r="188" spans="1:12" s="113" customFormat="1" ht="24.95" customHeight="1">
      <c r="A188" s="610"/>
      <c r="B188" s="512"/>
      <c r="C188" s="71"/>
      <c r="D188" s="126">
        <f t="shared" si="30"/>
        <v>0</v>
      </c>
      <c r="E188" s="72"/>
      <c r="F188" s="73"/>
      <c r="G188" s="73"/>
      <c r="H188" s="127">
        <f t="shared" si="31"/>
        <v>0</v>
      </c>
      <c r="I188" s="74"/>
      <c r="J188" s="75"/>
      <c r="K188" s="76"/>
      <c r="L188" s="500"/>
    </row>
    <row r="189" spans="1:12" s="125" customFormat="1" ht="24.75">
      <c r="A189" s="77" t="s">
        <v>376</v>
      </c>
      <c r="B189" s="513"/>
      <c r="C189" s="129"/>
      <c r="D189" s="129"/>
      <c r="E189" s="129"/>
      <c r="F189" s="129"/>
      <c r="G189" s="129"/>
      <c r="H189" s="129"/>
      <c r="I189" s="130"/>
      <c r="J189" s="130"/>
      <c r="K189" s="131"/>
      <c r="L189" s="502"/>
    </row>
    <row r="190" spans="1:12" s="113" customFormat="1" ht="24.95" customHeight="1">
      <c r="A190" s="608">
        <f>SUM(D190:D194)</f>
        <v>0</v>
      </c>
      <c r="B190" s="512"/>
      <c r="C190" s="71"/>
      <c r="D190" s="126">
        <f t="shared" si="30"/>
        <v>0</v>
      </c>
      <c r="E190" s="72"/>
      <c r="F190" s="73"/>
      <c r="G190" s="73"/>
      <c r="H190" s="127">
        <f t="shared" si="31"/>
        <v>0</v>
      </c>
      <c r="I190" s="74"/>
      <c r="J190" s="75"/>
      <c r="K190" s="76"/>
      <c r="L190" s="500"/>
    </row>
    <row r="191" spans="1:12" s="113" customFormat="1" ht="24.95" customHeight="1">
      <c r="A191" s="609"/>
      <c r="B191" s="512"/>
      <c r="C191" s="71"/>
      <c r="D191" s="126">
        <f t="shared" ref="D191:D192" si="38">(SUM(H191:I191)-SUM(J191:K191))</f>
        <v>0</v>
      </c>
      <c r="E191" s="72"/>
      <c r="F191" s="73"/>
      <c r="G191" s="73"/>
      <c r="H191" s="127">
        <f t="shared" ref="H191:H192" si="39">SUM(E191:G191)</f>
        <v>0</v>
      </c>
      <c r="I191" s="74"/>
      <c r="J191" s="75"/>
      <c r="K191" s="76"/>
      <c r="L191" s="500"/>
    </row>
    <row r="192" spans="1:12" s="113" customFormat="1" ht="24.95" customHeight="1">
      <c r="A192" s="609"/>
      <c r="B192" s="512"/>
      <c r="C192" s="71"/>
      <c r="D192" s="126">
        <f t="shared" si="38"/>
        <v>0</v>
      </c>
      <c r="E192" s="72"/>
      <c r="F192" s="73"/>
      <c r="G192" s="73"/>
      <c r="H192" s="127">
        <f t="shared" si="39"/>
        <v>0</v>
      </c>
      <c r="I192" s="74"/>
      <c r="J192" s="75"/>
      <c r="K192" s="76"/>
      <c r="L192" s="500"/>
    </row>
    <row r="193" spans="1:12" s="113" customFormat="1" ht="24.95" customHeight="1">
      <c r="A193" s="609"/>
      <c r="B193" s="512"/>
      <c r="C193" s="71"/>
      <c r="D193" s="126">
        <f t="shared" ref="D193:D212" si="40">(SUM(H193:I193)-SUM(J193:K193))</f>
        <v>0</v>
      </c>
      <c r="E193" s="72"/>
      <c r="F193" s="73"/>
      <c r="G193" s="73"/>
      <c r="H193" s="127">
        <f t="shared" ref="H193:H212" si="41">SUM(E193:G193)</f>
        <v>0</v>
      </c>
      <c r="I193" s="74"/>
      <c r="J193" s="75"/>
      <c r="K193" s="76"/>
      <c r="L193" s="500"/>
    </row>
    <row r="194" spans="1:12" s="113" customFormat="1" ht="24.95" customHeight="1">
      <c r="A194" s="610"/>
      <c r="B194" s="512"/>
      <c r="C194" s="71"/>
      <c r="D194" s="126">
        <f t="shared" si="40"/>
        <v>0</v>
      </c>
      <c r="E194" s="72"/>
      <c r="F194" s="73"/>
      <c r="G194" s="73"/>
      <c r="H194" s="127">
        <f t="shared" si="41"/>
        <v>0</v>
      </c>
      <c r="I194" s="74"/>
      <c r="J194" s="75"/>
      <c r="K194" s="76"/>
      <c r="L194" s="500"/>
    </row>
    <row r="195" spans="1:12" s="125" customFormat="1" ht="24.75" customHeight="1">
      <c r="A195" s="611" t="s">
        <v>525</v>
      </c>
      <c r="B195" s="612"/>
      <c r="C195" s="612"/>
      <c r="D195" s="612"/>
      <c r="E195" s="612"/>
      <c r="F195" s="612"/>
      <c r="G195" s="612"/>
      <c r="H195" s="612"/>
      <c r="I195" s="612"/>
      <c r="J195" s="612"/>
      <c r="K195" s="613"/>
      <c r="L195" s="502"/>
    </row>
    <row r="196" spans="1:12" s="125" customFormat="1" ht="24.75" customHeight="1">
      <c r="A196" s="614"/>
      <c r="B196" s="615"/>
      <c r="C196" s="615"/>
      <c r="D196" s="615"/>
      <c r="E196" s="615"/>
      <c r="F196" s="615"/>
      <c r="G196" s="615"/>
      <c r="H196" s="615"/>
      <c r="I196" s="615"/>
      <c r="J196" s="615"/>
      <c r="K196" s="616"/>
      <c r="L196" s="502"/>
    </row>
    <row r="197" spans="1:12" s="125" customFormat="1" ht="24.75" customHeight="1">
      <c r="A197" s="617"/>
      <c r="B197" s="618"/>
      <c r="C197" s="618"/>
      <c r="D197" s="618"/>
      <c r="E197" s="618"/>
      <c r="F197" s="618"/>
      <c r="G197" s="618"/>
      <c r="H197" s="618"/>
      <c r="I197" s="618"/>
      <c r="J197" s="618"/>
      <c r="K197" s="619"/>
      <c r="L197" s="502"/>
    </row>
    <row r="198" spans="1:12" s="125" customFormat="1" ht="24.75">
      <c r="A198" s="77" t="s">
        <v>524</v>
      </c>
      <c r="B198" s="513"/>
      <c r="C198" s="129"/>
      <c r="D198" s="129"/>
      <c r="E198" s="129"/>
      <c r="F198" s="129"/>
      <c r="G198" s="129"/>
      <c r="H198" s="129"/>
      <c r="I198" s="130"/>
      <c r="J198" s="130"/>
      <c r="K198" s="131"/>
      <c r="L198" s="502"/>
    </row>
    <row r="199" spans="1:12" s="113" customFormat="1" ht="24.95" customHeight="1">
      <c r="A199" s="608">
        <f>SUM(D199:D203)</f>
        <v>0</v>
      </c>
      <c r="B199" s="512"/>
      <c r="C199" s="71"/>
      <c r="D199" s="126">
        <f t="shared" si="40"/>
        <v>0</v>
      </c>
      <c r="E199" s="72"/>
      <c r="F199" s="73"/>
      <c r="G199" s="73"/>
      <c r="H199" s="127">
        <f t="shared" si="41"/>
        <v>0</v>
      </c>
      <c r="I199" s="74"/>
      <c r="J199" s="75"/>
      <c r="K199" s="76"/>
      <c r="L199" s="500"/>
    </row>
    <row r="200" spans="1:12" s="113" customFormat="1" ht="24.95" customHeight="1">
      <c r="A200" s="609"/>
      <c r="B200" s="512"/>
      <c r="C200" s="71"/>
      <c r="D200" s="126">
        <f t="shared" si="40"/>
        <v>0</v>
      </c>
      <c r="E200" s="72"/>
      <c r="F200" s="73"/>
      <c r="G200" s="73"/>
      <c r="H200" s="127">
        <f t="shared" si="41"/>
        <v>0</v>
      </c>
      <c r="I200" s="74"/>
      <c r="J200" s="75"/>
      <c r="K200" s="76"/>
      <c r="L200" s="500"/>
    </row>
    <row r="201" spans="1:12" s="113" customFormat="1" ht="24.95" customHeight="1">
      <c r="A201" s="609"/>
      <c r="B201" s="512"/>
      <c r="C201" s="71"/>
      <c r="D201" s="126">
        <f t="shared" ref="D201" si="42">(SUM(H201:I201)-SUM(J201:K201))</f>
        <v>0</v>
      </c>
      <c r="E201" s="72"/>
      <c r="F201" s="73"/>
      <c r="G201" s="73"/>
      <c r="H201" s="127">
        <f t="shared" ref="H201" si="43">SUM(E201:G201)</f>
        <v>0</v>
      </c>
      <c r="I201" s="74"/>
      <c r="J201" s="75"/>
      <c r="K201" s="76"/>
      <c r="L201" s="500"/>
    </row>
    <row r="202" spans="1:12" s="113" customFormat="1" ht="24.95" customHeight="1">
      <c r="A202" s="609"/>
      <c r="B202" s="512"/>
      <c r="C202" s="71"/>
      <c r="D202" s="126">
        <f t="shared" si="40"/>
        <v>0</v>
      </c>
      <c r="E202" s="72"/>
      <c r="F202" s="73"/>
      <c r="G202" s="73"/>
      <c r="H202" s="127">
        <f t="shared" si="41"/>
        <v>0</v>
      </c>
      <c r="I202" s="74"/>
      <c r="J202" s="75"/>
      <c r="K202" s="76"/>
      <c r="L202" s="500"/>
    </row>
    <row r="203" spans="1:12" s="113" customFormat="1" ht="24.95" customHeight="1">
      <c r="A203" s="610"/>
      <c r="B203" s="512"/>
      <c r="C203" s="71"/>
      <c r="D203" s="126">
        <f t="shared" si="40"/>
        <v>0</v>
      </c>
      <c r="E203" s="72"/>
      <c r="F203" s="73"/>
      <c r="G203" s="73"/>
      <c r="H203" s="127">
        <f t="shared" si="41"/>
        <v>0</v>
      </c>
      <c r="I203" s="74"/>
      <c r="J203" s="75"/>
      <c r="K203" s="76"/>
      <c r="L203" s="500"/>
    </row>
    <row r="204" spans="1:12" s="125" customFormat="1" ht="24.75" customHeight="1">
      <c r="A204" s="611" t="s">
        <v>526</v>
      </c>
      <c r="B204" s="612"/>
      <c r="C204" s="612"/>
      <c r="D204" s="612"/>
      <c r="E204" s="612"/>
      <c r="F204" s="612"/>
      <c r="G204" s="612"/>
      <c r="H204" s="612"/>
      <c r="I204" s="612"/>
      <c r="J204" s="612"/>
      <c r="K204" s="613"/>
      <c r="L204" s="502"/>
    </row>
    <row r="205" spans="1:12" s="125" customFormat="1" ht="24.75" customHeight="1">
      <c r="A205" s="614"/>
      <c r="B205" s="615"/>
      <c r="C205" s="615"/>
      <c r="D205" s="615"/>
      <c r="E205" s="615"/>
      <c r="F205" s="615"/>
      <c r="G205" s="615"/>
      <c r="H205" s="615"/>
      <c r="I205" s="615"/>
      <c r="J205" s="615"/>
      <c r="K205" s="616"/>
      <c r="L205" s="502"/>
    </row>
    <row r="206" spans="1:12" s="125" customFormat="1" ht="24.75" customHeight="1">
      <c r="A206" s="617"/>
      <c r="B206" s="618"/>
      <c r="C206" s="618"/>
      <c r="D206" s="618"/>
      <c r="E206" s="618"/>
      <c r="F206" s="618"/>
      <c r="G206" s="618"/>
      <c r="H206" s="618"/>
      <c r="I206" s="618"/>
      <c r="J206" s="618"/>
      <c r="K206" s="619"/>
      <c r="L206" s="502"/>
    </row>
    <row r="207" spans="1:12" s="125" customFormat="1" ht="24.75">
      <c r="A207" s="77" t="s">
        <v>262</v>
      </c>
      <c r="B207" s="513"/>
      <c r="C207" s="129"/>
      <c r="D207" s="129"/>
      <c r="E207" s="129"/>
      <c r="F207" s="129"/>
      <c r="G207" s="129"/>
      <c r="H207" s="129"/>
      <c r="I207" s="130"/>
      <c r="J207" s="130"/>
      <c r="K207" s="131"/>
      <c r="L207" s="502"/>
    </row>
    <row r="208" spans="1:12" s="113" customFormat="1" ht="24.95" customHeight="1">
      <c r="A208" s="608">
        <f>SUM(D208:D212)</f>
        <v>0</v>
      </c>
      <c r="B208" s="512"/>
      <c r="C208" s="71"/>
      <c r="D208" s="126">
        <f t="shared" si="40"/>
        <v>0</v>
      </c>
      <c r="E208" s="72"/>
      <c r="F208" s="73"/>
      <c r="G208" s="73"/>
      <c r="H208" s="127">
        <f t="shared" si="41"/>
        <v>0</v>
      </c>
      <c r="I208" s="74"/>
      <c r="J208" s="75"/>
      <c r="K208" s="76"/>
      <c r="L208" s="500"/>
    </row>
    <row r="209" spans="1:14" s="113" customFormat="1" ht="24.95" customHeight="1">
      <c r="A209" s="609"/>
      <c r="B209" s="512"/>
      <c r="C209" s="71"/>
      <c r="D209" s="126">
        <f t="shared" si="40"/>
        <v>0</v>
      </c>
      <c r="E209" s="72"/>
      <c r="F209" s="73"/>
      <c r="G209" s="73"/>
      <c r="H209" s="127">
        <f t="shared" si="41"/>
        <v>0</v>
      </c>
      <c r="I209" s="74"/>
      <c r="J209" s="75"/>
      <c r="K209" s="76"/>
      <c r="L209" s="500"/>
    </row>
    <row r="210" spans="1:14" s="113" customFormat="1" ht="24.95" customHeight="1">
      <c r="A210" s="609"/>
      <c r="B210" s="512"/>
      <c r="C210" s="71"/>
      <c r="D210" s="126">
        <f t="shared" si="40"/>
        <v>0</v>
      </c>
      <c r="E210" s="72"/>
      <c r="F210" s="73"/>
      <c r="G210" s="73"/>
      <c r="H210" s="127">
        <f t="shared" si="41"/>
        <v>0</v>
      </c>
      <c r="I210" s="74"/>
      <c r="J210" s="75"/>
      <c r="K210" s="76"/>
      <c r="L210" s="500"/>
    </row>
    <row r="211" spans="1:14" s="113" customFormat="1" ht="24.95" customHeight="1">
      <c r="A211" s="609"/>
      <c r="B211" s="512"/>
      <c r="C211" s="71"/>
      <c r="D211" s="126">
        <f t="shared" si="40"/>
        <v>0</v>
      </c>
      <c r="E211" s="72"/>
      <c r="F211" s="73"/>
      <c r="G211" s="73"/>
      <c r="H211" s="127">
        <f t="shared" si="41"/>
        <v>0</v>
      </c>
      <c r="I211" s="74"/>
      <c r="J211" s="75"/>
      <c r="K211" s="76"/>
      <c r="L211" s="500"/>
    </row>
    <row r="212" spans="1:14" s="113" customFormat="1" ht="24.95" customHeight="1">
      <c r="A212" s="610"/>
      <c r="B212" s="512"/>
      <c r="C212" s="71"/>
      <c r="D212" s="126">
        <f t="shared" si="40"/>
        <v>0</v>
      </c>
      <c r="E212" s="72"/>
      <c r="F212" s="73"/>
      <c r="G212" s="73"/>
      <c r="H212" s="127">
        <f t="shared" si="41"/>
        <v>0</v>
      </c>
      <c r="I212" s="74"/>
      <c r="J212" s="75"/>
      <c r="K212" s="76"/>
      <c r="L212" s="500"/>
    </row>
    <row r="213" spans="1:14" s="125" customFormat="1" ht="24.95" customHeight="1">
      <c r="A213" s="172" t="s">
        <v>531</v>
      </c>
      <c r="B213" s="513"/>
      <c r="C213" s="129"/>
      <c r="D213" s="129"/>
      <c r="E213" s="129"/>
      <c r="F213" s="129"/>
      <c r="G213" s="129"/>
      <c r="H213" s="129"/>
      <c r="I213" s="130"/>
      <c r="J213" s="130"/>
      <c r="K213" s="131"/>
      <c r="L213" s="502"/>
    </row>
    <row r="214" spans="1:14" ht="24.95" customHeight="1">
      <c r="C214" s="133" t="s">
        <v>377</v>
      </c>
      <c r="D214" s="134">
        <f t="shared" ref="D214:K214" si="44">SUM(D3:D212)</f>
        <v>17914.949999999997</v>
      </c>
      <c r="E214" s="135">
        <f t="shared" si="44"/>
        <v>5167.6499999999996</v>
      </c>
      <c r="F214" s="135">
        <f t="shared" si="44"/>
        <v>9975.1099999999988</v>
      </c>
      <c r="G214" s="135">
        <f t="shared" si="44"/>
        <v>0</v>
      </c>
      <c r="H214" s="134">
        <f t="shared" si="44"/>
        <v>15142.759999999997</v>
      </c>
      <c r="I214" s="135">
        <f t="shared" si="44"/>
        <v>2772.19</v>
      </c>
      <c r="J214" s="135">
        <f t="shared" si="44"/>
        <v>0</v>
      </c>
      <c r="K214" s="135">
        <f t="shared" si="44"/>
        <v>0</v>
      </c>
    </row>
    <row r="215" spans="1:14" ht="24.95" customHeight="1">
      <c r="C215" s="136" t="s">
        <v>378</v>
      </c>
      <c r="D215" s="137">
        <f>SUM(H215:I215)</f>
        <v>0</v>
      </c>
      <c r="E215" s="128">
        <f>J214</f>
        <v>0</v>
      </c>
      <c r="F215" s="128">
        <f>K214</f>
        <v>0</v>
      </c>
      <c r="G215" s="128"/>
      <c r="H215" s="138">
        <f>SUM(E215:G215)</f>
        <v>0</v>
      </c>
      <c r="I215" s="138"/>
    </row>
    <row r="216" spans="1:14" ht="24.95" customHeight="1">
      <c r="C216" s="139" t="s">
        <v>379</v>
      </c>
      <c r="D216" s="140">
        <f t="shared" ref="D216:I216" si="45">+D214-D215</f>
        <v>17914.949999999997</v>
      </c>
      <c r="E216" s="141">
        <f>+E214-E215</f>
        <v>5167.6499999999996</v>
      </c>
      <c r="F216" s="141">
        <f t="shared" si="45"/>
        <v>9975.1099999999988</v>
      </c>
      <c r="G216" s="141">
        <f t="shared" si="45"/>
        <v>0</v>
      </c>
      <c r="H216" s="140">
        <f t="shared" si="45"/>
        <v>15142.759999999997</v>
      </c>
      <c r="I216" s="141">
        <f t="shared" si="45"/>
        <v>2772.19</v>
      </c>
    </row>
    <row r="217" spans="1:14" ht="24.95" customHeight="1">
      <c r="B217" s="121"/>
      <c r="C217" s="142"/>
      <c r="D217" s="143"/>
      <c r="E217" s="144"/>
      <c r="F217" s="144"/>
      <c r="G217" s="144"/>
      <c r="H217" s="143"/>
      <c r="I217" s="144"/>
    </row>
    <row r="218" spans="1:14" ht="24.75">
      <c r="C218" s="145" t="s">
        <v>252</v>
      </c>
      <c r="D218" s="146" t="s">
        <v>20</v>
      </c>
      <c r="E218" s="147" t="s">
        <v>380</v>
      </c>
      <c r="F218" s="147" t="s">
        <v>381</v>
      </c>
      <c r="G218" s="147" t="s">
        <v>382</v>
      </c>
      <c r="H218" s="146" t="s">
        <v>383</v>
      </c>
      <c r="I218" s="147" t="s">
        <v>384</v>
      </c>
    </row>
    <row r="219" spans="1:14" ht="24.95" customHeight="1">
      <c r="B219" s="121"/>
      <c r="C219" s="148" t="s">
        <v>385</v>
      </c>
      <c r="D219" s="149">
        <f>E219+F219+G219+I219</f>
        <v>103067.75</v>
      </c>
      <c r="E219" s="78">
        <v>24999</v>
      </c>
      <c r="F219" s="78">
        <v>48196.25</v>
      </c>
      <c r="G219" s="78">
        <v>4482.75</v>
      </c>
      <c r="H219" s="149">
        <f>SUM(E219:G219)</f>
        <v>77678</v>
      </c>
      <c r="I219" s="78">
        <v>25389.75</v>
      </c>
      <c r="J219" s="150" t="s">
        <v>386</v>
      </c>
      <c r="K219" s="151"/>
      <c r="M219" s="152"/>
      <c r="N219" s="151"/>
    </row>
    <row r="220" spans="1:14" ht="24.95" customHeight="1">
      <c r="B220" s="121"/>
      <c r="C220" s="142"/>
      <c r="D220" s="143"/>
      <c r="E220" s="144"/>
      <c r="F220" s="144"/>
      <c r="G220" s="144"/>
      <c r="H220" s="143"/>
      <c r="I220" s="144"/>
      <c r="J220" s="153"/>
    </row>
    <row r="221" spans="1:14" ht="24.95" customHeight="1">
      <c r="B221" s="121"/>
      <c r="C221" s="154" t="s">
        <v>387</v>
      </c>
      <c r="D221" s="155">
        <f>E221+F221+G221+I221</f>
        <v>41847.82</v>
      </c>
      <c r="E221" s="79">
        <v>20534.45</v>
      </c>
      <c r="F221" s="79">
        <v>17684.25</v>
      </c>
      <c r="G221" s="79">
        <v>1055.3599999999999</v>
      </c>
      <c r="H221" s="155">
        <f>SUM(E221:G221)</f>
        <v>39274.06</v>
      </c>
      <c r="I221" s="79">
        <v>2573.7600000000002</v>
      </c>
      <c r="J221" s="150" t="s">
        <v>388</v>
      </c>
    </row>
    <row r="222" spans="1:14" ht="24.95" customHeight="1">
      <c r="B222" s="121"/>
      <c r="C222" s="142"/>
      <c r="D222" s="143"/>
      <c r="E222" s="144"/>
      <c r="F222" s="144"/>
      <c r="G222" s="144"/>
      <c r="H222" s="143"/>
      <c r="I222" s="144"/>
      <c r="J222" s="153"/>
    </row>
    <row r="223" spans="1:14" ht="24.95" customHeight="1">
      <c r="B223" s="121"/>
      <c r="C223" s="139" t="s">
        <v>389</v>
      </c>
      <c r="D223" s="156">
        <f>E223+F223+G223+I223</f>
        <v>17914.949999999997</v>
      </c>
      <c r="E223" s="157">
        <f>E216</f>
        <v>5167.6499999999996</v>
      </c>
      <c r="F223" s="157">
        <f>F216</f>
        <v>9975.1099999999988</v>
      </c>
      <c r="G223" s="157">
        <f>G216</f>
        <v>0</v>
      </c>
      <c r="H223" s="156">
        <f>SUM(E223:G223)</f>
        <v>15142.759999999998</v>
      </c>
      <c r="I223" s="157">
        <f>I216</f>
        <v>2772.19</v>
      </c>
      <c r="J223" s="153"/>
    </row>
    <row r="224" spans="1:14" ht="24.95" customHeight="1">
      <c r="B224" s="121"/>
      <c r="C224" s="142"/>
      <c r="D224" s="158"/>
      <c r="E224" s="159"/>
      <c r="F224" s="159"/>
      <c r="G224" s="159"/>
      <c r="H224" s="158"/>
      <c r="I224" s="159"/>
      <c r="J224" s="153"/>
    </row>
    <row r="225" spans="2:21" ht="24.95" customHeight="1">
      <c r="B225" s="121"/>
      <c r="C225" s="154" t="s">
        <v>390</v>
      </c>
      <c r="D225" s="259">
        <f>H225+I225</f>
        <v>65048.590000000004</v>
      </c>
      <c r="E225" s="79">
        <v>38144.33</v>
      </c>
      <c r="F225" s="79">
        <v>21454.32</v>
      </c>
      <c r="G225" s="79">
        <v>1439.47</v>
      </c>
      <c r="H225" s="259">
        <f>SUM(E225:G225)</f>
        <v>61038.12</v>
      </c>
      <c r="I225" s="79">
        <v>4010.47</v>
      </c>
      <c r="J225" s="150" t="s">
        <v>391</v>
      </c>
      <c r="M225" s="152"/>
    </row>
    <row r="226" spans="2:21" ht="24.95" customHeight="1">
      <c r="B226" s="121"/>
      <c r="C226" s="142"/>
      <c r="D226" s="158"/>
      <c r="E226" s="159"/>
      <c r="F226" s="159"/>
      <c r="G226" s="159"/>
      <c r="H226" s="158"/>
      <c r="I226" s="159"/>
      <c r="J226" s="153"/>
    </row>
    <row r="227" spans="2:21" ht="24.95" customHeight="1">
      <c r="B227" s="121"/>
      <c r="C227" s="160" t="s">
        <v>392</v>
      </c>
      <c r="D227" s="161">
        <f>D221+D223-D225</f>
        <v>-5285.820000000007</v>
      </c>
      <c r="E227" s="162">
        <f>E221+E223-E225</f>
        <v>-12442.230000000003</v>
      </c>
      <c r="F227" s="162">
        <f>F221+F223-F225</f>
        <v>6205.0400000000009</v>
      </c>
      <c r="G227" s="162">
        <f>G221+G223-G225</f>
        <v>-384.11000000000013</v>
      </c>
      <c r="H227" s="161">
        <f>SUM(E227:G227)</f>
        <v>-6621.3000000000029</v>
      </c>
      <c r="I227" s="162">
        <f>I221+I222+I223-I225</f>
        <v>1335.4800000000009</v>
      </c>
      <c r="J227" s="153"/>
    </row>
    <row r="228" spans="2:21" ht="24.95" customHeight="1">
      <c r="B228" s="121"/>
      <c r="C228" s="121"/>
      <c r="D228" s="163" t="s">
        <v>393</v>
      </c>
      <c r="E228" s="176">
        <f>E227/E219</f>
        <v>-0.49770910836433468</v>
      </c>
      <c r="F228" s="176">
        <f>F227/F219</f>
        <v>0.12874528619965248</v>
      </c>
      <c r="G228" s="176">
        <f>G227/G219</f>
        <v>-8.5686241704310995E-2</v>
      </c>
      <c r="H228" s="179">
        <f>H227/H219</f>
        <v>-8.5240351193388131E-2</v>
      </c>
      <c r="I228" s="176">
        <f>I227/I219</f>
        <v>5.2599178802469539E-2</v>
      </c>
      <c r="J228" s="153"/>
    </row>
    <row r="229" spans="2:21" ht="24.95" customHeight="1">
      <c r="B229" s="164"/>
      <c r="C229" s="113"/>
      <c r="D229" s="165" t="s">
        <v>394</v>
      </c>
      <c r="E229" s="177">
        <f>'Ytd COG'!B17</f>
        <v>0</v>
      </c>
      <c r="F229" s="177">
        <f>'Ytd COG'!C17</f>
        <v>0</v>
      </c>
      <c r="G229" s="177">
        <f>'Ytd COG'!D17</f>
        <v>0</v>
      </c>
      <c r="I229" s="177">
        <f>'Ytd COG'!F17</f>
        <v>0</v>
      </c>
      <c r="J229" s="153"/>
    </row>
    <row r="230" spans="2:21" ht="30" customHeight="1">
      <c r="B230" s="113"/>
      <c r="C230" s="113"/>
      <c r="D230" s="166" t="s">
        <v>395</v>
      </c>
      <c r="E230" s="178">
        <f>E228-E229</f>
        <v>-0.49770910836433468</v>
      </c>
      <c r="F230" s="178">
        <f>F228-F229</f>
        <v>0.12874528619965248</v>
      </c>
      <c r="G230" s="178">
        <f>G228-G229</f>
        <v>-8.5686241704310995E-2</v>
      </c>
      <c r="I230" s="178">
        <f>I228-I229</f>
        <v>5.2599178802469539E-2</v>
      </c>
      <c r="J230" s="150" t="s">
        <v>396</v>
      </c>
      <c r="K230" s="113"/>
    </row>
    <row r="232" spans="2:21" ht="24.95" customHeight="1">
      <c r="B232" s="599" t="s">
        <v>447</v>
      </c>
      <c r="C232" s="600"/>
      <c r="D232" s="601"/>
      <c r="E232" s="508">
        <v>153</v>
      </c>
      <c r="G232" s="168"/>
    </row>
    <row r="233" spans="2:21" ht="24.95" customHeight="1">
      <c r="B233" s="602" t="s">
        <v>448</v>
      </c>
      <c r="C233" s="603"/>
      <c r="D233" s="604"/>
      <c r="E233" s="509">
        <v>23</v>
      </c>
      <c r="F233" s="152"/>
      <c r="G233" s="168"/>
      <c r="H233" s="152"/>
      <c r="I233" s="152"/>
    </row>
    <row r="234" spans="2:21" ht="24.95" customHeight="1">
      <c r="B234" s="602" t="s">
        <v>449</v>
      </c>
      <c r="C234" s="603"/>
      <c r="D234" s="604"/>
      <c r="E234" s="509">
        <v>58</v>
      </c>
      <c r="F234" s="152"/>
      <c r="H234" s="152"/>
      <c r="I234" s="152"/>
      <c r="M234" s="169"/>
      <c r="N234" s="170"/>
      <c r="O234" s="170"/>
      <c r="P234" s="170"/>
      <c r="Q234" s="170"/>
      <c r="R234" s="170"/>
      <c r="S234" s="170"/>
      <c r="T234" s="170"/>
      <c r="U234" s="170"/>
    </row>
    <row r="235" spans="2:21" ht="24.95" customHeight="1">
      <c r="B235" s="602" t="s">
        <v>523</v>
      </c>
      <c r="C235" s="603"/>
      <c r="D235" s="604"/>
      <c r="E235" s="509">
        <v>104</v>
      </c>
      <c r="F235" s="152"/>
      <c r="H235" s="152"/>
      <c r="I235" s="152"/>
      <c r="M235" s="169"/>
      <c r="N235" s="170"/>
      <c r="O235" s="170"/>
      <c r="P235" s="170"/>
      <c r="Q235" s="170"/>
      <c r="R235" s="170"/>
      <c r="S235" s="170"/>
      <c r="T235" s="170"/>
      <c r="U235" s="170"/>
    </row>
    <row r="236" spans="2:21" ht="24.95" customHeight="1">
      <c r="B236" s="602" t="s">
        <v>450</v>
      </c>
      <c r="C236" s="603"/>
      <c r="D236" s="604"/>
      <c r="E236" s="510">
        <f>E233/E234</f>
        <v>0.39655172413793105</v>
      </c>
      <c r="G236" s="152"/>
      <c r="H236" s="404"/>
      <c r="I236" s="152"/>
      <c r="M236" s="171"/>
      <c r="N236"/>
      <c r="O236"/>
      <c r="P236"/>
      <c r="Q236"/>
      <c r="R236"/>
      <c r="S236"/>
      <c r="T236"/>
      <c r="U236"/>
    </row>
    <row r="237" spans="2:21" ht="24.95" customHeight="1">
      <c r="B237" s="602" t="s">
        <v>451</v>
      </c>
      <c r="C237" s="603"/>
      <c r="D237" s="604"/>
      <c r="E237" s="510">
        <f>E227/(((E235*E232)-(E234*E232))+E219)</f>
        <v>-0.38837063395449023</v>
      </c>
      <c r="I237" s="152"/>
    </row>
    <row r="238" spans="2:21" ht="24.95" customHeight="1">
      <c r="B238" s="596" t="s">
        <v>498</v>
      </c>
      <c r="C238" s="597"/>
      <c r="D238" s="598"/>
      <c r="E238" s="178">
        <f>E237-E229</f>
        <v>-0.38837063395449023</v>
      </c>
      <c r="I238" s="152"/>
    </row>
  </sheetData>
  <sheetProtection algorithmName="SHA-512" hashValue="REJFvRw7XaOJJ/o+COqajqR/dvn1WHAqe+z8w3dZ4OBayLrD/9JmzQgR1IoTVt2RWFvAyaYe1/8KddhjLPFNJA==" saltValue="P7u1+Qs92bYjXHumAChKfw==" spinCount="100000" sheet="1" objects="1" scenarios="1" formatCells="0" selectLockedCells="1"/>
  <mergeCells count="28">
    <mergeCell ref="A208:A212"/>
    <mergeCell ref="A153:K155"/>
    <mergeCell ref="A80:K82"/>
    <mergeCell ref="A3:K79"/>
    <mergeCell ref="A84:A93"/>
    <mergeCell ref="A95:A104"/>
    <mergeCell ref="A106:A110"/>
    <mergeCell ref="A112:A116"/>
    <mergeCell ref="A118:A122"/>
    <mergeCell ref="A124:A128"/>
    <mergeCell ref="A130:A134"/>
    <mergeCell ref="A136:A140"/>
    <mergeCell ref="A142:A146"/>
    <mergeCell ref="A148:A152"/>
    <mergeCell ref="A204:K206"/>
    <mergeCell ref="A195:K197"/>
    <mergeCell ref="A157:A176"/>
    <mergeCell ref="A178:A182"/>
    <mergeCell ref="A184:A188"/>
    <mergeCell ref="A190:A194"/>
    <mergeCell ref="A199:A203"/>
    <mergeCell ref="B238:D238"/>
    <mergeCell ref="B232:D232"/>
    <mergeCell ref="B233:D233"/>
    <mergeCell ref="B234:D234"/>
    <mergeCell ref="B236:D236"/>
    <mergeCell ref="B237:D237"/>
    <mergeCell ref="B235:D235"/>
  </mergeCells>
  <conditionalFormatting sqref="E230:G230">
    <cfRule type="expression" dxfId="17" priority="9">
      <formula>ABS(E230)&gt;0.0201</formula>
    </cfRule>
    <cfRule type="expression" dxfId="16" priority="10">
      <formula>AND(E230&lt;&gt;0, ABS(E230)&lt;=0.02)</formula>
    </cfRule>
    <cfRule type="expression" dxfId="15" priority="11">
      <formula>E230=0</formula>
    </cfRule>
  </conditionalFormatting>
  <conditionalFormatting sqref="I230">
    <cfRule type="expression" dxfId="14" priority="6">
      <formula>ABS(I230)&gt;0.0201</formula>
    </cfRule>
    <cfRule type="expression" dxfId="13" priority="7">
      <formula>AND(I230&lt;&gt;0, ABS(I230)&lt;=0.02)</formula>
    </cfRule>
    <cfRule type="expression" dxfId="12" priority="8">
      <formula>I230=0</formula>
    </cfRule>
  </conditionalFormatting>
  <conditionalFormatting sqref="E238">
    <cfRule type="expression" dxfId="11" priority="1">
      <formula>ABS(E238)&gt;0.0201</formula>
    </cfRule>
    <cfRule type="expression" dxfId="10" priority="2">
      <formula>AND(E238&lt;&gt;0, ABS(E238)&lt;=0.02)</formula>
    </cfRule>
    <cfRule type="expression" dxfId="9" priority="3">
      <formula>E238=0</formula>
    </cfRule>
  </conditionalFormatting>
  <pageMargins left="0.25" right="0.25" top="0.75" bottom="0.75" header="0.3" footer="0.3"/>
  <pageSetup scale="1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AndUpdate" altText="📥 Import Intelipar Data">
                <anchor moveWithCells="1" sizeWithCells="1">
                  <from>
                    <xdr:col>0</xdr:col>
                    <xdr:colOff>76200</xdr:colOff>
                    <xdr:row>217</xdr:row>
                    <xdr:rowOff>85725</xdr:rowOff>
                  </from>
                  <to>
                    <xdr:col>1</xdr:col>
                    <xdr:colOff>1409700</xdr:colOff>
                    <xdr:row>224</xdr:row>
                    <xdr:rowOff>228600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G21"/>
  <sheetViews>
    <sheetView showGridLines="0" workbookViewId="0">
      <selection activeCell="B14" sqref="B14"/>
    </sheetView>
  </sheetViews>
  <sheetFormatPr defaultColWidth="9.140625" defaultRowHeight="12.75"/>
  <cols>
    <col min="1" max="1" width="38.7109375" style="68" bestFit="1" customWidth="1"/>
    <col min="2" max="6" width="15.7109375" style="68" customWidth="1"/>
    <col min="7" max="16384" width="9.140625" style="68"/>
  </cols>
  <sheetData>
    <row r="1" spans="1:7" ht="30" customHeight="1">
      <c r="A1" s="437"/>
    </row>
    <row r="2" spans="1:7" ht="18">
      <c r="A2" s="438" t="s">
        <v>397</v>
      </c>
    </row>
    <row r="3" spans="1:7" ht="18">
      <c r="A3" s="507">
        <f>'Inv Totals'!B1</f>
        <v>45931</v>
      </c>
      <c r="B3" s="439" t="s">
        <v>380</v>
      </c>
      <c r="C3" s="439" t="s">
        <v>381</v>
      </c>
      <c r="D3" s="439" t="s">
        <v>382</v>
      </c>
      <c r="E3" s="439" t="s">
        <v>398</v>
      </c>
      <c r="F3" s="439" t="s">
        <v>399</v>
      </c>
    </row>
    <row r="4" spans="1:7" ht="18">
      <c r="A4" s="440" t="s">
        <v>400</v>
      </c>
      <c r="B4" s="402"/>
      <c r="C4" s="402"/>
      <c r="D4" s="402"/>
      <c r="E4" s="402"/>
      <c r="F4" s="402"/>
      <c r="G4" s="185" t="s">
        <v>514</v>
      </c>
    </row>
    <row r="5" spans="1:7" ht="18">
      <c r="A5" s="441" t="s">
        <v>417</v>
      </c>
      <c r="B5" s="403"/>
      <c r="C5" s="403"/>
      <c r="D5" s="403"/>
      <c r="E5" s="403"/>
      <c r="F5" s="403"/>
    </row>
    <row r="6" spans="1:7" ht="18">
      <c r="A6" s="441" t="s">
        <v>418</v>
      </c>
      <c r="B6" s="403"/>
      <c r="C6" s="403"/>
      <c r="D6" s="403"/>
      <c r="E6" s="403"/>
      <c r="F6" s="403"/>
      <c r="G6" s="185"/>
    </row>
    <row r="7" spans="1:7" ht="18">
      <c r="A7" s="441" t="s">
        <v>419</v>
      </c>
      <c r="B7" s="403"/>
      <c r="C7" s="403"/>
      <c r="D7" s="403"/>
      <c r="E7" s="403"/>
      <c r="F7" s="403"/>
    </row>
    <row r="8" spans="1:7" ht="18">
      <c r="A8" s="441" t="s">
        <v>420</v>
      </c>
      <c r="B8" s="403"/>
      <c r="C8" s="403"/>
      <c r="D8" s="403"/>
      <c r="E8" s="403"/>
      <c r="F8" s="403"/>
    </row>
    <row r="9" spans="1:7" ht="18">
      <c r="A9" s="441" t="s">
        <v>421</v>
      </c>
      <c r="B9" s="403"/>
      <c r="C9" s="403"/>
      <c r="D9" s="403"/>
      <c r="E9" s="403"/>
      <c r="F9" s="403"/>
    </row>
    <row r="10" spans="1:7" ht="18">
      <c r="A10" s="441" t="s">
        <v>422</v>
      </c>
      <c r="B10" s="403"/>
      <c r="C10" s="403"/>
      <c r="D10" s="403"/>
      <c r="E10" s="403"/>
      <c r="F10" s="403"/>
    </row>
    <row r="11" spans="1:7" ht="18">
      <c r="A11" s="441" t="s">
        <v>416</v>
      </c>
      <c r="B11" s="107"/>
      <c r="C11" s="107"/>
      <c r="D11" s="107"/>
      <c r="E11" s="107"/>
      <c r="F11" s="107"/>
    </row>
    <row r="12" spans="1:7" ht="18">
      <c r="A12" s="441" t="s">
        <v>423</v>
      </c>
      <c r="B12" s="107"/>
      <c r="C12" s="107"/>
      <c r="D12" s="107"/>
      <c r="E12" s="107"/>
      <c r="F12" s="107"/>
    </row>
    <row r="13" spans="1:7" ht="18">
      <c r="A13" s="441" t="s">
        <v>424</v>
      </c>
      <c r="B13" s="107"/>
      <c r="C13" s="107"/>
      <c r="D13" s="107"/>
      <c r="E13" s="107"/>
      <c r="F13" s="107"/>
    </row>
    <row r="14" spans="1:7" ht="18">
      <c r="A14" s="441" t="s">
        <v>425</v>
      </c>
      <c r="B14" s="107">
        <v>0</v>
      </c>
      <c r="C14" s="107">
        <v>0</v>
      </c>
      <c r="D14" s="107">
        <v>0</v>
      </c>
      <c r="E14" s="107">
        <v>0</v>
      </c>
      <c r="F14" s="107">
        <v>0</v>
      </c>
    </row>
    <row r="15" spans="1:7" ht="18">
      <c r="A15" s="441" t="s">
        <v>426</v>
      </c>
      <c r="B15" s="107"/>
      <c r="C15" s="107"/>
      <c r="D15" s="107"/>
      <c r="E15" s="107"/>
      <c r="F15" s="107"/>
    </row>
    <row r="16" spans="1:7" ht="18">
      <c r="A16" s="441" t="s">
        <v>427</v>
      </c>
      <c r="B16" s="107"/>
      <c r="C16" s="107"/>
      <c r="D16" s="107"/>
      <c r="E16" s="107"/>
      <c r="F16" s="107"/>
    </row>
    <row r="17" spans="1:6" ht="18">
      <c r="A17" s="442" t="s">
        <v>401</v>
      </c>
      <c r="B17" s="108">
        <f>AVERAGE(B4:B16)</f>
        <v>0</v>
      </c>
      <c r="C17" s="108">
        <f t="shared" ref="C17:F17" si="0">AVERAGE(C4:C16)</f>
        <v>0</v>
      </c>
      <c r="D17" s="108">
        <f t="shared" si="0"/>
        <v>0</v>
      </c>
      <c r="E17" s="108">
        <f t="shared" si="0"/>
        <v>0</v>
      </c>
      <c r="F17" s="108">
        <f t="shared" si="0"/>
        <v>0</v>
      </c>
    </row>
    <row r="19" spans="1:6">
      <c r="B19" s="443"/>
      <c r="C19" s="444"/>
      <c r="D19" s="443"/>
      <c r="E19" s="444"/>
      <c r="F19" s="443"/>
    </row>
    <row r="20" spans="1:6">
      <c r="F20" s="443"/>
    </row>
    <row r="21" spans="1:6">
      <c r="B21" s="443"/>
      <c r="C21" s="443"/>
      <c r="D21" s="443"/>
      <c r="E21" s="443"/>
      <c r="F21" s="443"/>
    </row>
  </sheetData>
  <sheetProtection algorithmName="SHA-512" hashValue="XClPN/md1ZYkKJG4unTY1GERFYdynrjTJ/He7UyzC+4OgR1WhmStAxizLKKYkK7b1//AdGZ4k51h9MG4uP7Aog==" saltValue="JY4m+45K5t/6KHJAuspdIA==" spinCount="100000" sheet="1" objects="1" scenarios="1" selectLockedCells="1"/>
  <phoneticPr fontId="7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CheckAndUpdate">
                <anchor moveWithCells="1" sizeWithCells="1">
                  <from>
                    <xdr:col>0</xdr:col>
                    <xdr:colOff>0</xdr:colOff>
                    <xdr:row>17</xdr:row>
                    <xdr:rowOff>66675</xdr:rowOff>
                  </from>
                  <to>
                    <xdr:col>1</xdr:col>
                    <xdr:colOff>447675</xdr:colOff>
                    <xdr:row>20</xdr:row>
                    <xdr:rowOff>123825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I44"/>
  <sheetViews>
    <sheetView zoomScaleNormal="100" workbookViewId="0">
      <selection activeCell="B26" sqref="B26:I26"/>
    </sheetView>
  </sheetViews>
  <sheetFormatPr defaultColWidth="9.140625" defaultRowHeight="12.75"/>
  <cols>
    <col min="1" max="1" width="2.7109375" style="68" customWidth="1"/>
    <col min="2" max="2" width="22.7109375" style="68" customWidth="1"/>
    <col min="3" max="3" width="27.42578125" style="68" bestFit="1" customWidth="1"/>
    <col min="4" max="9" width="22.7109375" style="68" customWidth="1"/>
    <col min="10" max="16384" width="9.140625" style="68"/>
  </cols>
  <sheetData>
    <row r="2" spans="2:9" ht="39.950000000000003" customHeight="1">
      <c r="B2" s="638" t="s">
        <v>497</v>
      </c>
      <c r="C2" s="639"/>
      <c r="D2" s="639"/>
      <c r="E2" s="639"/>
      <c r="F2" s="639"/>
      <c r="G2" s="639"/>
      <c r="H2" s="639"/>
      <c r="I2" s="640"/>
    </row>
    <row r="3" spans="2:9" ht="20.100000000000001" customHeight="1">
      <c r="B3" s="632"/>
      <c r="C3" s="633"/>
      <c r="D3" s="633"/>
      <c r="E3" s="633"/>
      <c r="F3" s="633"/>
      <c r="G3" s="633"/>
      <c r="H3" s="633"/>
      <c r="I3" s="634"/>
    </row>
    <row r="4" spans="2:9" ht="20.100000000000001" customHeight="1">
      <c r="B4" s="629"/>
      <c r="C4" s="630"/>
      <c r="D4" s="630"/>
      <c r="E4" s="630"/>
      <c r="F4" s="630"/>
      <c r="G4" s="630"/>
      <c r="H4" s="630"/>
      <c r="I4" s="631"/>
    </row>
    <row r="5" spans="2:9" ht="20.100000000000001" customHeight="1">
      <c r="B5" s="629"/>
      <c r="C5" s="630"/>
      <c r="D5" s="630"/>
      <c r="E5" s="630"/>
      <c r="F5" s="630"/>
      <c r="G5" s="630"/>
      <c r="H5" s="630"/>
      <c r="I5" s="631"/>
    </row>
    <row r="6" spans="2:9" ht="20.100000000000001" customHeight="1">
      <c r="B6" s="629"/>
      <c r="C6" s="630"/>
      <c r="D6" s="630"/>
      <c r="E6" s="630"/>
      <c r="F6" s="630"/>
      <c r="G6" s="630"/>
      <c r="H6" s="630"/>
      <c r="I6" s="631"/>
    </row>
    <row r="7" spans="2:9" ht="20.100000000000001" customHeight="1">
      <c r="B7" s="629"/>
      <c r="C7" s="630"/>
      <c r="D7" s="630"/>
      <c r="E7" s="630"/>
      <c r="F7" s="630"/>
      <c r="G7" s="630"/>
      <c r="H7" s="630"/>
      <c r="I7" s="631"/>
    </row>
    <row r="8" spans="2:9" ht="20.100000000000001" customHeight="1">
      <c r="B8" s="629"/>
      <c r="C8" s="630"/>
      <c r="D8" s="630"/>
      <c r="E8" s="630"/>
      <c r="F8" s="630"/>
      <c r="G8" s="630"/>
      <c r="H8" s="630"/>
      <c r="I8" s="631"/>
    </row>
    <row r="9" spans="2:9" ht="20.100000000000001" customHeight="1">
      <c r="B9" s="629"/>
      <c r="C9" s="630"/>
      <c r="D9" s="630"/>
      <c r="E9" s="630"/>
      <c r="F9" s="630"/>
      <c r="G9" s="630"/>
      <c r="H9" s="630"/>
      <c r="I9" s="631"/>
    </row>
    <row r="10" spans="2:9" ht="20.100000000000001" customHeight="1">
      <c r="B10" s="629"/>
      <c r="C10" s="630"/>
      <c r="D10" s="630"/>
      <c r="E10" s="630"/>
      <c r="F10" s="630"/>
      <c r="G10" s="630"/>
      <c r="H10" s="630"/>
      <c r="I10" s="631"/>
    </row>
    <row r="11" spans="2:9" ht="20.100000000000001" customHeight="1">
      <c r="B11" s="629"/>
      <c r="C11" s="630"/>
      <c r="D11" s="630"/>
      <c r="E11" s="630"/>
      <c r="F11" s="630"/>
      <c r="G11" s="630"/>
      <c r="H11" s="630"/>
      <c r="I11" s="631"/>
    </row>
    <row r="12" spans="2:9" ht="20.100000000000001" customHeight="1">
      <c r="B12" s="629"/>
      <c r="C12" s="630"/>
      <c r="D12" s="630"/>
      <c r="E12" s="630"/>
      <c r="F12" s="630"/>
      <c r="G12" s="630"/>
      <c r="H12" s="630"/>
      <c r="I12" s="631"/>
    </row>
    <row r="13" spans="2:9" ht="20.100000000000001" customHeight="1">
      <c r="B13" s="629"/>
      <c r="C13" s="630"/>
      <c r="D13" s="630"/>
      <c r="E13" s="630"/>
      <c r="F13" s="630"/>
      <c r="G13" s="630"/>
      <c r="H13" s="630"/>
      <c r="I13" s="631"/>
    </row>
    <row r="14" spans="2:9" ht="20.100000000000001" customHeight="1">
      <c r="B14" s="629"/>
      <c r="C14" s="630"/>
      <c r="D14" s="630"/>
      <c r="E14" s="630"/>
      <c r="F14" s="630"/>
      <c r="G14" s="630"/>
      <c r="H14" s="630"/>
      <c r="I14" s="631"/>
    </row>
    <row r="15" spans="2:9" ht="20.100000000000001" customHeight="1">
      <c r="B15" s="629"/>
      <c r="C15" s="630"/>
      <c r="D15" s="630"/>
      <c r="E15" s="630"/>
      <c r="F15" s="630"/>
      <c r="G15" s="630"/>
      <c r="H15" s="630"/>
      <c r="I15" s="631"/>
    </row>
    <row r="16" spans="2:9" ht="20.100000000000001" customHeight="1">
      <c r="B16" s="629"/>
      <c r="C16" s="630"/>
      <c r="D16" s="630"/>
      <c r="E16" s="630"/>
      <c r="F16" s="630"/>
      <c r="G16" s="630"/>
      <c r="H16" s="630"/>
      <c r="I16" s="631"/>
    </row>
    <row r="17" spans="2:9" ht="20.100000000000001" customHeight="1">
      <c r="B17" s="629"/>
      <c r="C17" s="630"/>
      <c r="D17" s="630"/>
      <c r="E17" s="630"/>
      <c r="F17" s="630"/>
      <c r="G17" s="630"/>
      <c r="H17" s="630"/>
      <c r="I17" s="631"/>
    </row>
    <row r="18" spans="2:9" ht="20.100000000000001" customHeight="1">
      <c r="B18" s="629"/>
      <c r="C18" s="630"/>
      <c r="D18" s="630"/>
      <c r="E18" s="630"/>
      <c r="F18" s="630"/>
      <c r="G18" s="630"/>
      <c r="H18" s="630"/>
      <c r="I18" s="631"/>
    </row>
    <row r="19" spans="2:9" ht="20.100000000000001" customHeight="1">
      <c r="B19" s="629"/>
      <c r="C19" s="630"/>
      <c r="D19" s="630"/>
      <c r="E19" s="630"/>
      <c r="F19" s="630"/>
      <c r="G19" s="630"/>
      <c r="H19" s="630"/>
      <c r="I19" s="631"/>
    </row>
    <row r="20" spans="2:9" ht="20.100000000000001" customHeight="1">
      <c r="B20" s="629"/>
      <c r="C20" s="630"/>
      <c r="D20" s="630"/>
      <c r="E20" s="630"/>
      <c r="F20" s="630"/>
      <c r="G20" s="630"/>
      <c r="H20" s="630"/>
      <c r="I20" s="631"/>
    </row>
    <row r="21" spans="2:9" ht="20.100000000000001" customHeight="1">
      <c r="B21" s="629"/>
      <c r="C21" s="630"/>
      <c r="D21" s="630"/>
      <c r="E21" s="630"/>
      <c r="F21" s="630"/>
      <c r="G21" s="630"/>
      <c r="H21" s="630"/>
      <c r="I21" s="631"/>
    </row>
    <row r="22" spans="2:9" ht="20.100000000000001" customHeight="1">
      <c r="B22" s="629"/>
      <c r="C22" s="630"/>
      <c r="D22" s="630"/>
      <c r="E22" s="630"/>
      <c r="F22" s="630"/>
      <c r="G22" s="630"/>
      <c r="H22" s="630"/>
      <c r="I22" s="631"/>
    </row>
    <row r="23" spans="2:9" ht="20.100000000000001" customHeight="1">
      <c r="B23" s="629"/>
      <c r="C23" s="630"/>
      <c r="D23" s="630"/>
      <c r="E23" s="630"/>
      <c r="F23" s="630"/>
      <c r="G23" s="630"/>
      <c r="H23" s="630"/>
      <c r="I23" s="631"/>
    </row>
    <row r="24" spans="2:9" ht="20.100000000000001" customHeight="1">
      <c r="B24" s="629"/>
      <c r="C24" s="630"/>
      <c r="D24" s="630"/>
      <c r="E24" s="630"/>
      <c r="F24" s="630"/>
      <c r="G24" s="630"/>
      <c r="H24" s="630"/>
      <c r="I24" s="631"/>
    </row>
    <row r="25" spans="2:9" ht="20.100000000000001" customHeight="1">
      <c r="B25" s="629"/>
      <c r="C25" s="630"/>
      <c r="D25" s="630"/>
      <c r="E25" s="630"/>
      <c r="F25" s="630"/>
      <c r="G25" s="630"/>
      <c r="H25" s="630"/>
      <c r="I25" s="631"/>
    </row>
    <row r="26" spans="2:9" ht="20.100000000000001" customHeight="1">
      <c r="B26" s="629"/>
      <c r="C26" s="630"/>
      <c r="D26" s="630"/>
      <c r="E26" s="630"/>
      <c r="F26" s="630"/>
      <c r="G26" s="630"/>
      <c r="H26" s="630"/>
      <c r="I26" s="631"/>
    </row>
    <row r="27" spans="2:9" ht="20.100000000000001" customHeight="1">
      <c r="B27" s="629"/>
      <c r="C27" s="630"/>
      <c r="D27" s="630"/>
      <c r="E27" s="630"/>
      <c r="F27" s="630"/>
      <c r="G27" s="630"/>
      <c r="H27" s="630"/>
      <c r="I27" s="631"/>
    </row>
    <row r="28" spans="2:9" ht="20.100000000000001" customHeight="1">
      <c r="B28" s="629"/>
      <c r="C28" s="630"/>
      <c r="D28" s="630"/>
      <c r="E28" s="630"/>
      <c r="F28" s="630"/>
      <c r="G28" s="630"/>
      <c r="H28" s="630"/>
      <c r="I28" s="631"/>
    </row>
    <row r="29" spans="2:9" ht="20.100000000000001" customHeight="1">
      <c r="B29" s="629"/>
      <c r="C29" s="630"/>
      <c r="D29" s="630"/>
      <c r="E29" s="630"/>
      <c r="F29" s="630"/>
      <c r="G29" s="630"/>
      <c r="H29" s="630"/>
      <c r="I29" s="631"/>
    </row>
    <row r="30" spans="2:9" ht="20.100000000000001" customHeight="1">
      <c r="B30" s="629"/>
      <c r="C30" s="630"/>
      <c r="D30" s="630"/>
      <c r="E30" s="630"/>
      <c r="F30" s="630"/>
      <c r="G30" s="630"/>
      <c r="H30" s="630"/>
      <c r="I30" s="631"/>
    </row>
    <row r="31" spans="2:9" ht="20.100000000000001" customHeight="1">
      <c r="B31" s="629"/>
      <c r="C31" s="630"/>
      <c r="D31" s="630"/>
      <c r="E31" s="630"/>
      <c r="F31" s="630"/>
      <c r="G31" s="630"/>
      <c r="H31" s="630"/>
      <c r="I31" s="631"/>
    </row>
    <row r="32" spans="2:9" ht="20.100000000000001" customHeight="1">
      <c r="B32" s="629"/>
      <c r="C32" s="630"/>
      <c r="D32" s="630"/>
      <c r="E32" s="630"/>
      <c r="F32" s="630"/>
      <c r="G32" s="630"/>
      <c r="H32" s="630"/>
      <c r="I32" s="631"/>
    </row>
    <row r="33" spans="2:9" ht="20.100000000000001" customHeight="1">
      <c r="B33" s="629"/>
      <c r="C33" s="630"/>
      <c r="D33" s="630"/>
      <c r="E33" s="630"/>
      <c r="F33" s="630"/>
      <c r="G33" s="630"/>
      <c r="H33" s="630"/>
      <c r="I33" s="631"/>
    </row>
    <row r="34" spans="2:9" ht="20.100000000000001" customHeight="1">
      <c r="B34" s="629"/>
      <c r="C34" s="630"/>
      <c r="D34" s="630"/>
      <c r="E34" s="630"/>
      <c r="F34" s="630"/>
      <c r="G34" s="630"/>
      <c r="H34" s="630"/>
      <c r="I34" s="631"/>
    </row>
    <row r="35" spans="2:9" ht="20.100000000000001" customHeight="1">
      <c r="B35" s="629"/>
      <c r="C35" s="630"/>
      <c r="D35" s="630"/>
      <c r="E35" s="630"/>
      <c r="F35" s="630"/>
      <c r="G35" s="630"/>
      <c r="H35" s="630"/>
      <c r="I35" s="631"/>
    </row>
    <row r="36" spans="2:9" ht="20.100000000000001" customHeight="1">
      <c r="B36" s="629"/>
      <c r="C36" s="630"/>
      <c r="D36" s="630"/>
      <c r="E36" s="630"/>
      <c r="F36" s="630"/>
      <c r="G36" s="630"/>
      <c r="H36" s="630"/>
      <c r="I36" s="631"/>
    </row>
    <row r="37" spans="2:9" ht="20.100000000000001" customHeight="1">
      <c r="B37" s="629"/>
      <c r="C37" s="630"/>
      <c r="D37" s="630"/>
      <c r="E37" s="630"/>
      <c r="F37" s="630"/>
      <c r="G37" s="630"/>
      <c r="H37" s="630"/>
      <c r="I37" s="631"/>
    </row>
    <row r="38" spans="2:9" ht="20.100000000000001" customHeight="1">
      <c r="B38" s="629"/>
      <c r="C38" s="630"/>
      <c r="D38" s="630"/>
      <c r="E38" s="630"/>
      <c r="F38" s="630"/>
      <c r="G38" s="630"/>
      <c r="H38" s="630"/>
      <c r="I38" s="631"/>
    </row>
    <row r="39" spans="2:9" ht="20.100000000000001" customHeight="1">
      <c r="B39" s="629"/>
      <c r="C39" s="630"/>
      <c r="D39" s="630"/>
      <c r="E39" s="630"/>
      <c r="F39" s="630"/>
      <c r="G39" s="630"/>
      <c r="H39" s="630"/>
      <c r="I39" s="631"/>
    </row>
    <row r="40" spans="2:9" ht="20.100000000000001" customHeight="1">
      <c r="B40" s="629"/>
      <c r="C40" s="630"/>
      <c r="D40" s="630"/>
      <c r="E40" s="630"/>
      <c r="F40" s="630"/>
      <c r="G40" s="630"/>
      <c r="H40" s="630"/>
      <c r="I40" s="631"/>
    </row>
    <row r="41" spans="2:9" ht="20.100000000000001" customHeight="1">
      <c r="B41" s="629"/>
      <c r="C41" s="630"/>
      <c r="D41" s="630"/>
      <c r="E41" s="630"/>
      <c r="F41" s="630"/>
      <c r="G41" s="630"/>
      <c r="H41" s="630"/>
      <c r="I41" s="631"/>
    </row>
    <row r="42" spans="2:9" ht="20.100000000000001" customHeight="1">
      <c r="B42" s="629"/>
      <c r="C42" s="630"/>
      <c r="D42" s="630"/>
      <c r="E42" s="630"/>
      <c r="F42" s="630"/>
      <c r="G42" s="630"/>
      <c r="H42" s="630"/>
      <c r="I42" s="631"/>
    </row>
    <row r="43" spans="2:9" ht="20.100000000000001" customHeight="1">
      <c r="B43" s="629"/>
      <c r="C43" s="630"/>
      <c r="D43" s="630"/>
      <c r="E43" s="630"/>
      <c r="F43" s="630"/>
      <c r="G43" s="630"/>
      <c r="H43" s="630"/>
      <c r="I43" s="631"/>
    </row>
    <row r="44" spans="2:9" ht="20.100000000000001" customHeight="1">
      <c r="B44" s="635"/>
      <c r="C44" s="636"/>
      <c r="D44" s="636"/>
      <c r="E44" s="636"/>
      <c r="F44" s="636"/>
      <c r="G44" s="636"/>
      <c r="H44" s="636"/>
      <c r="I44" s="637"/>
    </row>
  </sheetData>
  <sheetProtection algorithmName="SHA-512" hashValue="6Dgx/eaQtQL8fabO7flKbQ3zz+keaQ3Mc9EuNU19K3G4lGdabHFNE3Wt5WuuFOForeU/PYLhzbHDHErU2ATk1Q==" saltValue="073N9ICInlxQzMZwoQs1vQ==" spinCount="100000" sheet="1" objects="1" scenarios="1" selectLockedCells="1"/>
  <mergeCells count="43">
    <mergeCell ref="B2:I2"/>
    <mergeCell ref="B39:I39"/>
    <mergeCell ref="B40:I40"/>
    <mergeCell ref="B41:I41"/>
    <mergeCell ref="B42:I42"/>
    <mergeCell ref="B27:I27"/>
    <mergeCell ref="B28:I28"/>
    <mergeCell ref="B29:I29"/>
    <mergeCell ref="B30:I30"/>
    <mergeCell ref="B31:I31"/>
    <mergeCell ref="B32:I32"/>
    <mergeCell ref="B21:I21"/>
    <mergeCell ref="B22:I22"/>
    <mergeCell ref="B23:I23"/>
    <mergeCell ref="B24:I24"/>
    <mergeCell ref="B25:I25"/>
    <mergeCell ref="B43:I43"/>
    <mergeCell ref="B44:I44"/>
    <mergeCell ref="B33:I33"/>
    <mergeCell ref="B34:I34"/>
    <mergeCell ref="B35:I35"/>
    <mergeCell ref="B36:I36"/>
    <mergeCell ref="B37:I37"/>
    <mergeCell ref="B38:I38"/>
    <mergeCell ref="B26:I26"/>
    <mergeCell ref="B15:I15"/>
    <mergeCell ref="B16:I16"/>
    <mergeCell ref="B17:I17"/>
    <mergeCell ref="B18:I18"/>
    <mergeCell ref="B19:I19"/>
    <mergeCell ref="B20:I20"/>
    <mergeCell ref="B14:I14"/>
    <mergeCell ref="B3:I3"/>
    <mergeCell ref="B4:I4"/>
    <mergeCell ref="B5:I5"/>
    <mergeCell ref="B6:I6"/>
    <mergeCell ref="B7:I7"/>
    <mergeCell ref="B8:I8"/>
    <mergeCell ref="B9:I9"/>
    <mergeCell ref="B10:I10"/>
    <mergeCell ref="B11:I11"/>
    <mergeCell ref="B12:I12"/>
    <mergeCell ref="B13:I13"/>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41"/>
  <sheetViews>
    <sheetView topLeftCell="A19" workbookViewId="0"/>
  </sheetViews>
  <sheetFormatPr defaultColWidth="9.140625" defaultRowHeight="12.75"/>
  <cols>
    <col min="1" max="1" width="2.7109375" style="68" customWidth="1"/>
    <col min="2" max="2" width="36.5703125" style="68" bestFit="1" customWidth="1"/>
    <col min="3" max="3" width="18.85546875" style="56"/>
    <col min="4" max="4" width="19.28515625" style="56" customWidth="1"/>
    <col min="5" max="5" width="17.85546875" style="56" customWidth="1"/>
    <col min="6" max="16384" width="9.140625" style="68"/>
  </cols>
  <sheetData>
    <row r="1" spans="1:6" ht="13.5" thickBot="1"/>
    <row r="2" spans="1:6" ht="27" thickBot="1">
      <c r="A2" s="265"/>
      <c r="B2" s="641">
        <f>'Inv Totals'!B1</f>
        <v>45931</v>
      </c>
      <c r="C2" s="642"/>
      <c r="D2" s="642"/>
      <c r="E2" s="643"/>
      <c r="F2" s="56"/>
    </row>
    <row r="3" spans="1:6" ht="24" thickBot="1">
      <c r="A3" s="56"/>
      <c r="B3" s="644" t="str">
        <f>'Inv Totals'!B3</f>
        <v>Texas de Brazil - Tokyo JP</v>
      </c>
      <c r="C3" s="645"/>
      <c r="D3" s="645"/>
      <c r="E3" s="646"/>
      <c r="F3" s="267"/>
    </row>
    <row r="4" spans="1:6" ht="13.5" thickBot="1">
      <c r="D4" s="428"/>
    </row>
    <row r="5" spans="1:6" ht="15.75">
      <c r="B5" s="429" t="s">
        <v>510</v>
      </c>
      <c r="C5" s="414">
        <f>'W,L,B,NA'!E228</f>
        <v>-0.49770910836433468</v>
      </c>
      <c r="D5" s="412">
        <f>'Ytd COG'!B17</f>
        <v>0</v>
      </c>
      <c r="E5" s="421">
        <f t="shared" ref="E5:E8" si="0">C5-D5</f>
        <v>-0.49770910836433468</v>
      </c>
    </row>
    <row r="6" spans="1:6" ht="15.75">
      <c r="B6" s="430" t="s">
        <v>511</v>
      </c>
      <c r="C6" s="415">
        <f>'W,L,B,NA'!F228</f>
        <v>0.12874528619965248</v>
      </c>
      <c r="D6" s="408">
        <f>'Ytd COG'!C17</f>
        <v>0</v>
      </c>
      <c r="E6" s="422">
        <f t="shared" si="0"/>
        <v>0.12874528619965248</v>
      </c>
    </row>
    <row r="7" spans="1:6" ht="15.75">
      <c r="B7" s="430" t="s">
        <v>512</v>
      </c>
      <c r="C7" s="415">
        <f>'W,L,B,NA'!G228</f>
        <v>-8.5686241704310995E-2</v>
      </c>
      <c r="D7" s="408">
        <f>'Ytd COG'!D17</f>
        <v>0</v>
      </c>
      <c r="E7" s="422">
        <f t="shared" si="0"/>
        <v>-8.5686241704310995E-2</v>
      </c>
    </row>
    <row r="8" spans="1:6" ht="15.75">
      <c r="B8" s="430" t="s">
        <v>513</v>
      </c>
      <c r="C8" s="415">
        <f>'W,L,B,NA'!I228</f>
        <v>5.2599178802469539E-2</v>
      </c>
      <c r="D8" s="408">
        <f>'Ytd COG'!F17</f>
        <v>0</v>
      </c>
      <c r="E8" s="422">
        <f t="shared" si="0"/>
        <v>5.2599178802469539E-2</v>
      </c>
      <c r="F8" s="431"/>
    </row>
    <row r="9" spans="1:6" ht="16.5" thickBot="1">
      <c r="B9" s="432" t="s">
        <v>266</v>
      </c>
      <c r="C9" s="416">
        <f>'Food %'!K17</f>
        <v>0.30597444483819464</v>
      </c>
      <c r="D9" s="410">
        <f>'Ytd COG'!E17</f>
        <v>0</v>
      </c>
      <c r="E9" s="423">
        <f>C9-D9</f>
        <v>0.30597444483819464</v>
      </c>
    </row>
    <row r="10" spans="1:6" ht="13.5" thickBot="1"/>
    <row r="11" spans="1:6" ht="16.5" thickBot="1">
      <c r="B11" s="433" t="s">
        <v>390</v>
      </c>
      <c r="C11" s="417">
        <f>'W,L,B,NA'!D225</f>
        <v>65048.590000000004</v>
      </c>
      <c r="D11" s="525" t="s">
        <v>533</v>
      </c>
      <c r="E11" s="424" t="e">
        <f>C11-D11</f>
        <v>#VALUE!</v>
      </c>
      <c r="F11" s="431"/>
    </row>
    <row r="12" spans="1:6" ht="13.5" thickBot="1">
      <c r="B12" s="434"/>
      <c r="C12" s="435"/>
      <c r="D12" s="435"/>
      <c r="E12" s="436"/>
    </row>
    <row r="13" spans="1:6" ht="15.75">
      <c r="B13" s="430" t="s">
        <v>13</v>
      </c>
      <c r="C13" s="418">
        <f>'Inv Totals'!C8</f>
        <v>38144.33</v>
      </c>
      <c r="D13" s="409">
        <f>'W,L,B,NA'!E225</f>
        <v>38144.33</v>
      </c>
      <c r="E13" s="425">
        <f>C13-D13</f>
        <v>0</v>
      </c>
    </row>
    <row r="14" spans="1:6" ht="15.75">
      <c r="B14" s="430" t="s">
        <v>7</v>
      </c>
      <c r="C14" s="419">
        <f>'Inv Totals'!C6</f>
        <v>21454.32</v>
      </c>
      <c r="D14" s="407">
        <f>'W,L,B,NA'!F225</f>
        <v>21454.32</v>
      </c>
      <c r="E14" s="426">
        <f t="shared" ref="E14:E16" si="1">C14-D14</f>
        <v>0</v>
      </c>
    </row>
    <row r="15" spans="1:6" ht="15.75">
      <c r="B15" s="430" t="s">
        <v>10</v>
      </c>
      <c r="C15" s="419">
        <f>'Inv Totals'!C7</f>
        <v>1439.47</v>
      </c>
      <c r="D15" s="407">
        <f>'W,L,B,NA'!G225</f>
        <v>1439.47</v>
      </c>
      <c r="E15" s="426">
        <f t="shared" si="1"/>
        <v>0</v>
      </c>
    </row>
    <row r="16" spans="1:6" ht="16.5" thickBot="1">
      <c r="B16" s="432" t="s">
        <v>16</v>
      </c>
      <c r="C16" s="420">
        <f>'Inv Totals'!C9</f>
        <v>4010.47</v>
      </c>
      <c r="D16" s="411">
        <f>'W,L,B,NA'!I225</f>
        <v>4010.47</v>
      </c>
      <c r="E16" s="427">
        <f t="shared" si="1"/>
        <v>0</v>
      </c>
    </row>
    <row r="17" spans="2:6" ht="13.5" thickBot="1">
      <c r="C17" s="435"/>
      <c r="D17" s="435"/>
      <c r="E17" s="435"/>
    </row>
    <row r="18" spans="2:6" ht="15.75">
      <c r="B18" s="429" t="s">
        <v>519</v>
      </c>
      <c r="C18" s="414">
        <f>'W,L,B,NA'!E229</f>
        <v>0</v>
      </c>
      <c r="D18" s="412">
        <f>'Ytd COG'!B17</f>
        <v>0</v>
      </c>
      <c r="E18" s="421">
        <f t="shared" ref="E18:E21" si="2">C18-D18</f>
        <v>0</v>
      </c>
    </row>
    <row r="19" spans="2:6" ht="15.75">
      <c r="B19" s="430" t="s">
        <v>520</v>
      </c>
      <c r="C19" s="415">
        <f>'W,L,B,NA'!F229</f>
        <v>0</v>
      </c>
      <c r="D19" s="408">
        <f>'Ytd COG'!C17</f>
        <v>0</v>
      </c>
      <c r="E19" s="422">
        <f t="shared" si="2"/>
        <v>0</v>
      </c>
    </row>
    <row r="20" spans="2:6" ht="15.75">
      <c r="B20" s="430" t="s">
        <v>521</v>
      </c>
      <c r="C20" s="415">
        <f>'W,L,B,NA'!G229</f>
        <v>0</v>
      </c>
      <c r="D20" s="408">
        <f>'Ytd COG'!D17</f>
        <v>0</v>
      </c>
      <c r="E20" s="422">
        <f t="shared" si="2"/>
        <v>0</v>
      </c>
    </row>
    <row r="21" spans="2:6" ht="16.5" thickBot="1">
      <c r="B21" s="432" t="s">
        <v>522</v>
      </c>
      <c r="C21" s="416">
        <f>'W,L,B,NA'!I229</f>
        <v>0</v>
      </c>
      <c r="D21" s="410">
        <f>'Ytd COG'!F17</f>
        <v>0</v>
      </c>
      <c r="E21" s="423">
        <f t="shared" si="2"/>
        <v>0</v>
      </c>
      <c r="F21" s="431"/>
    </row>
    <row r="22" spans="2:6" ht="13.5" thickBot="1"/>
    <row r="23" spans="2:6" ht="16.5" thickBot="1">
      <c r="B23" s="433" t="s">
        <v>4</v>
      </c>
      <c r="C23" s="417">
        <f>'Inv Totals'!C5</f>
        <v>43897.123999999996</v>
      </c>
      <c r="D23" s="413">
        <f>Food!E237</f>
        <v>43897.123999999996</v>
      </c>
      <c r="E23" s="424">
        <f>C23-D23</f>
        <v>0</v>
      </c>
    </row>
    <row r="24" spans="2:6" ht="13.5" thickBot="1">
      <c r="B24" s="434"/>
      <c r="C24" s="435"/>
      <c r="D24" s="435"/>
      <c r="E24" s="436"/>
    </row>
    <row r="25" spans="2:6" ht="15.75">
      <c r="B25" s="430" t="s">
        <v>5</v>
      </c>
      <c r="C25" s="418">
        <f>'Inv Totals'!E5</f>
        <v>20118.999999999996</v>
      </c>
      <c r="D25" s="409">
        <f>Food!E15</f>
        <v>20118.999999999996</v>
      </c>
      <c r="E25" s="425">
        <f t="shared" ref="E25:E33" si="3">C25-D25</f>
        <v>0</v>
      </c>
    </row>
    <row r="26" spans="2:6" ht="15.75">
      <c r="B26" s="430" t="s">
        <v>8</v>
      </c>
      <c r="C26" s="419">
        <f>'Inv Totals'!E6</f>
        <v>5079.7</v>
      </c>
      <c r="D26" s="407">
        <f>Food!E20</f>
        <v>5079.7</v>
      </c>
      <c r="E26" s="426">
        <f t="shared" si="3"/>
        <v>0</v>
      </c>
    </row>
    <row r="27" spans="2:6" ht="15.75">
      <c r="B27" s="430" t="s">
        <v>11</v>
      </c>
      <c r="C27" s="419">
        <f>'Inv Totals'!E7</f>
        <v>623.79999999999995</v>
      </c>
      <c r="D27" s="407">
        <f>Food!E25</f>
        <v>623.79999999999995</v>
      </c>
      <c r="E27" s="426">
        <f t="shared" si="3"/>
        <v>0</v>
      </c>
    </row>
    <row r="28" spans="2:6" ht="15.75">
      <c r="B28" s="430" t="s">
        <v>14</v>
      </c>
      <c r="C28" s="419">
        <f>'Inv Totals'!E8</f>
        <v>2676.6200000000003</v>
      </c>
      <c r="D28" s="407">
        <f>Food!E35</f>
        <v>2676.6200000000003</v>
      </c>
      <c r="E28" s="426">
        <f t="shared" si="3"/>
        <v>0</v>
      </c>
    </row>
    <row r="29" spans="2:6" ht="15.75">
      <c r="B29" s="430" t="s">
        <v>17</v>
      </c>
      <c r="C29" s="419">
        <f>'Inv Totals'!E9</f>
        <v>923.6</v>
      </c>
      <c r="D29" s="407">
        <f>Food!E42</f>
        <v>923.6</v>
      </c>
      <c r="E29" s="426">
        <f t="shared" si="3"/>
        <v>0</v>
      </c>
    </row>
    <row r="30" spans="2:6" ht="15.75">
      <c r="B30" s="430" t="s">
        <v>19</v>
      </c>
      <c r="C30" s="419">
        <f>'Inv Totals'!E10</f>
        <v>9462.3340000000007</v>
      </c>
      <c r="D30" s="407">
        <f>Food!E147</f>
        <v>9462.3340000000007</v>
      </c>
      <c r="E30" s="426">
        <f t="shared" si="3"/>
        <v>0</v>
      </c>
    </row>
    <row r="31" spans="2:6" ht="15.75">
      <c r="B31" s="430" t="s">
        <v>21</v>
      </c>
      <c r="C31" s="419">
        <f>'Inv Totals'!E11</f>
        <v>1257.3300000000002</v>
      </c>
      <c r="D31" s="407">
        <f>Food!E181</f>
        <v>1257.3300000000002</v>
      </c>
      <c r="E31" s="426">
        <f t="shared" si="3"/>
        <v>0</v>
      </c>
    </row>
    <row r="32" spans="2:6" ht="15.75">
      <c r="B32" s="430" t="s">
        <v>22</v>
      </c>
      <c r="C32" s="419">
        <f>'Inv Totals'!E12</f>
        <v>3700.2400000000002</v>
      </c>
      <c r="D32" s="407">
        <f>Food!E217</f>
        <v>3700.2400000000002</v>
      </c>
      <c r="E32" s="426">
        <f t="shared" si="3"/>
        <v>0</v>
      </c>
    </row>
    <row r="33" spans="2:5" ht="16.5" thickBot="1">
      <c r="B33" s="432" t="s">
        <v>23</v>
      </c>
      <c r="C33" s="420">
        <f>'Inv Totals'!E13</f>
        <v>54.5</v>
      </c>
      <c r="D33" s="411">
        <f>Food!E235</f>
        <v>54.5</v>
      </c>
      <c r="E33" s="427">
        <f t="shared" si="3"/>
        <v>0</v>
      </c>
    </row>
    <row r="34" spans="2:5" ht="13.5" thickBot="1">
      <c r="C34" s="435"/>
      <c r="D34" s="435"/>
      <c r="E34" s="435"/>
    </row>
    <row r="35" spans="2:5" ht="16.5" thickBot="1">
      <c r="B35" s="433" t="s">
        <v>509</v>
      </c>
      <c r="C35" s="413">
        <f>'Inv Totals'!G10</f>
        <v>0</v>
      </c>
      <c r="D35" s="413">
        <f>'Supplies &amp; Chemicals'!F122</f>
        <v>0</v>
      </c>
      <c r="E35" s="424">
        <f>C35-D35</f>
        <v>0</v>
      </c>
    </row>
    <row r="36" spans="2:5" ht="13.5" thickBot="1">
      <c r="B36" s="434"/>
      <c r="C36" s="435"/>
      <c r="D36" s="435"/>
      <c r="E36" s="436"/>
    </row>
    <row r="37" spans="2:5" ht="15.75">
      <c r="B37" s="430" t="s">
        <v>6</v>
      </c>
      <c r="C37" s="418">
        <f>'Inv Totals'!G5</f>
        <v>0</v>
      </c>
      <c r="D37" s="409">
        <f>'Supplies &amp; Chemicals'!F10+'Supplies &amp; Chemicals'!F16+'Supplies &amp; Chemicals'!F22</f>
        <v>0</v>
      </c>
      <c r="E37" s="425">
        <f t="shared" ref="E37:E41" si="4">C37-D37</f>
        <v>0</v>
      </c>
    </row>
    <row r="38" spans="2:5" ht="15.75">
      <c r="B38" s="430" t="s">
        <v>9</v>
      </c>
      <c r="C38" s="419">
        <f>'Inv Totals'!G6</f>
        <v>0</v>
      </c>
      <c r="D38" s="407">
        <f>'Supplies &amp; Chemicals'!F26+'Supplies &amp; Chemicals'!F31+'Supplies &amp; Chemicals'!F36</f>
        <v>0</v>
      </c>
      <c r="E38" s="426">
        <f t="shared" si="4"/>
        <v>0</v>
      </c>
    </row>
    <row r="39" spans="2:5" ht="15.75">
      <c r="B39" s="430" t="s">
        <v>12</v>
      </c>
      <c r="C39" s="419">
        <f>'Inv Totals'!G7</f>
        <v>0</v>
      </c>
      <c r="D39" s="407">
        <f>'Supplies &amp; Chemicals'!F71</f>
        <v>0</v>
      </c>
      <c r="E39" s="426">
        <f t="shared" si="4"/>
        <v>0</v>
      </c>
    </row>
    <row r="40" spans="2:5" ht="15.75">
      <c r="B40" s="430" t="s">
        <v>15</v>
      </c>
      <c r="C40" s="419">
        <f>'Inv Totals'!G8</f>
        <v>0</v>
      </c>
      <c r="D40" s="407">
        <f>'Supplies &amp; Chemicals'!F95</f>
        <v>0</v>
      </c>
      <c r="E40" s="426">
        <f t="shared" si="4"/>
        <v>0</v>
      </c>
    </row>
    <row r="41" spans="2:5" ht="16.5" thickBot="1">
      <c r="B41" s="432" t="s">
        <v>18</v>
      </c>
      <c r="C41" s="420">
        <f>'Inv Totals'!G9</f>
        <v>0</v>
      </c>
      <c r="D41" s="411">
        <f>'Supplies &amp; Chemicals'!F103+'Supplies &amp; Chemicals'!F120</f>
        <v>0</v>
      </c>
      <c r="E41" s="427">
        <f t="shared" si="4"/>
        <v>0</v>
      </c>
    </row>
  </sheetData>
  <sheetProtection algorithmName="SHA-512" hashValue="G29Qa5tl83mhCgjpt122JODwumxbyk6Mmj6xt0+yUZbYQg/veYAd6R8Vc3UNNr/1aLKa43rcOd7vI1Xt6GXboQ==" saltValue="cKeCll05TkVQt2njF0r9rg==" spinCount="100000" sheet="1" objects="1" scenarios="1" formatCells="0" selectLockedCells="1" selectUnlockedCells="1"/>
  <mergeCells count="2">
    <mergeCell ref="B2:E2"/>
    <mergeCell ref="B3:E3"/>
  </mergeCells>
  <conditionalFormatting sqref="E5:E9">
    <cfRule type="expression" dxfId="8" priority="7">
      <formula>ABS(E5)&gt;0.0201</formula>
    </cfRule>
    <cfRule type="expression" dxfId="7" priority="8">
      <formula>AND(E5&lt;&gt;0, ABS(E5)&lt;=0.02)</formula>
    </cfRule>
    <cfRule type="expression" dxfId="6" priority="9">
      <formula>E5=0</formula>
    </cfRule>
  </conditionalFormatting>
  <conditionalFormatting sqref="E18:E20">
    <cfRule type="expression" dxfId="5" priority="4">
      <formula>ABS(E18)&gt;0.0201</formula>
    </cfRule>
    <cfRule type="expression" dxfId="4" priority="5">
      <formula>AND(E18&lt;&gt;0, ABS(E18)&lt;=0.02)</formula>
    </cfRule>
    <cfRule type="expression" dxfId="3" priority="6">
      <formula>E18=0</formula>
    </cfRule>
  </conditionalFormatting>
  <conditionalFormatting sqref="E21">
    <cfRule type="expression" dxfId="2" priority="1">
      <formula>ABS(E21)&gt;0.0201</formula>
    </cfRule>
    <cfRule type="expression" dxfId="1" priority="2">
      <formula>AND(E21&lt;&gt;0, ABS(E21)&lt;=0.02)</formula>
    </cfRule>
    <cfRule type="expression" dxfId="0" priority="3">
      <formula>E21=0</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vt:i4>
      </vt:variant>
    </vt:vector>
  </HeadingPairs>
  <TitlesOfParts>
    <vt:vector size="14" baseType="lpstr">
      <vt:lpstr>Inv Totals</vt:lpstr>
      <vt:lpstr>Food</vt:lpstr>
      <vt:lpstr>Food %</vt:lpstr>
      <vt:lpstr>Meat Usage</vt:lpstr>
      <vt:lpstr>Supplies &amp; Chemicals</vt:lpstr>
      <vt:lpstr>InteliPar</vt:lpstr>
      <vt:lpstr>W,L,B,NA</vt:lpstr>
      <vt:lpstr>Ytd COG</vt:lpstr>
      <vt:lpstr>Explanation</vt:lpstr>
      <vt:lpstr>Dashboard</vt:lpstr>
      <vt:lpstr>Food!Print_Area</vt:lpstr>
      <vt:lpstr>'Food %'!Print_Area</vt:lpstr>
      <vt:lpstr>'Meat Usage'!Print_Area</vt:lpstr>
      <vt:lpstr>'Supplies &amp; Chemicals'!Print_Area</vt:lpstr>
    </vt:vector>
  </TitlesOfParts>
  <Company>Texas de Brazil</Company>
  <LinksUpToDate>false</LinksUpToDate>
  <SharedDoc>false</SharedDoc>
  <HyperlinkBase/>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Cook</dc:creator>
  <cp:lastModifiedBy>MGRTAMPA2</cp:lastModifiedBy>
  <cp:revision/>
  <cp:lastPrinted>2026-02-01T13:56:48Z</cp:lastPrinted>
  <dcterms:created xsi:type="dcterms:W3CDTF">2007-02-03T20:35:39Z</dcterms:created>
  <dcterms:modified xsi:type="dcterms:W3CDTF">2026-02-05T15:47:15Z</dcterms:modified>
</cp:coreProperties>
</file>